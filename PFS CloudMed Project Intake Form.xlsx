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eatwell\OneDrive - Wake Forest Baptist Health\Documents\CloudMed\"/>
    </mc:Choice>
  </mc:AlternateContent>
  <bookViews>
    <workbookView xWindow="0" yWindow="0" windowWidth="23040" windowHeight="9060" tabRatio="739"/>
  </bookViews>
  <sheets>
    <sheet name="Intake Form" sheetId="1" r:id="rId1"/>
    <sheet name="Submission Data1" sheetId="10" state="hidden" r:id="rId2"/>
    <sheet name="Submission Data - 1" sheetId="11" r:id="rId3"/>
    <sheet name="Submission Data - 2" sheetId="12" r:id="rId4"/>
    <sheet name="Impact Scoring" sheetId="2" r:id="rId5"/>
    <sheet name="Business Outcome BR Pathway" sheetId="5" r:id="rId6"/>
    <sheet name="Business Change BR Pathway " sheetId="6" r:id="rId7"/>
    <sheet name="Process Outcome BR Pathway" sheetId="7" r:id="rId8"/>
    <sheet name="Resource Estimates" sheetId="4" r:id="rId9"/>
    <sheet name="Change Request" sheetId="9" state="hidden" r:id="rId10"/>
    <sheet name="Hidden" sheetId="3" state="hidden" r:id="rId11"/>
  </sheets>
  <externalReferences>
    <externalReference r:id="rId12"/>
    <externalReference r:id="rId13"/>
    <externalReference r:id="rId14"/>
    <externalReference r:id="rId15"/>
    <externalReference r:id="rId16"/>
  </externalReferences>
  <definedNames>
    <definedName name="Agency_Abrv">[1]Codes!$H$5:$H$40</definedName>
    <definedName name="Agency_Names">[1]Codes!$I$5:$M$40</definedName>
    <definedName name="Agency_Selected">'[1]First Sheet'!$A$10</definedName>
    <definedName name="BegPeriod">[1]Codes!$B$25:$B$28</definedName>
    <definedName name="Code_Sheet_Title">[1]Codes!$A$48</definedName>
    <definedName name="Current_Period">'[1]First Sheet'!$A$7</definedName>
    <definedName name="CurrentBeg">'[1]First Sheet'!$B$7</definedName>
    <definedName name="CurrentEnd">'[1]First Sheet'!$C$7</definedName>
    <definedName name="DueDates" localSheetId="6">#REF!</definedName>
    <definedName name="DueDates" localSheetId="5">#REF!</definedName>
    <definedName name="DueDates" localSheetId="7">#REF!</definedName>
    <definedName name="DueDates">#REF!</definedName>
    <definedName name="EndPeriod">[1]Codes!$C$25:$C$28</definedName>
    <definedName name="Eval_Status">[1]Codes!$A$10:$A$13</definedName>
    <definedName name="Exact_Match">[1]Codes!$A$57</definedName>
    <definedName name="First_Sheet_Title">[1]Codes!$A$33</definedName>
    <definedName name="Frequency">[2]DropDownMenus!$I$1:$I$7</definedName>
    <definedName name="General_Title">[1]Codes!$A$36</definedName>
    <definedName name="holidays">OFFSET([3]Holidays!$A$10,1,0,COUNTA([3]Holidays!$A$11:$A$4996),1)</definedName>
    <definedName name="Input_Sheet_Title">[1]Codes!$A$42</definedName>
    <definedName name="Instruction_Sheet_Title">[1]Codes!$A$45</definedName>
    <definedName name="LevelDetail">[2]DropDownMenus!$C$1:$C$4</definedName>
    <definedName name="LSUSRoles">OFFSET([4]RolesLSUS!$A$1,0,0,COUNTA([4]RolesLSUS!$A:$A),1)</definedName>
    <definedName name="Method">[2]DropDownMenus!$J$1:$J$5</definedName>
    <definedName name="MPF">[2]DropDownMenus!$S$2:$S$5</definedName>
    <definedName name="No_Changes">[1]Codes!$A$55</definedName>
    <definedName name="No_Data_Entry">[1]Codes!$A$51</definedName>
    <definedName name="Policy_Units">[1]Codes!$A$16:$A$22</definedName>
    <definedName name="_xlnm.Print_Area" localSheetId="6">'Business Change BR Pathway '!$B$2:$U$20</definedName>
    <definedName name="_xlnm.Print_Area" localSheetId="5">'Business Outcome BR Pathway'!$B$1:$U$19</definedName>
    <definedName name="_xlnm.Print_Area" localSheetId="0">'Intake Form'!$A$1:$O$79</definedName>
    <definedName name="_xlnm.Print_Area" localSheetId="7">'Process Outcome BR Pathway'!$B$2:$U$52</definedName>
    <definedName name="_xlnm.Print_Area" localSheetId="2">'Submission Data - 1'!$B$1:$G$61</definedName>
    <definedName name="_xlnm.Print_Area" localSheetId="3">'Submission Data - 2'!$A$1:$J$49</definedName>
    <definedName name="_xlnm.Print_Area" localSheetId="1">'Submission Data1'!$B$1:$G$49</definedName>
    <definedName name="_xlnm.Print_Titles" localSheetId="1">'Submission Data1'!$1:$4</definedName>
    <definedName name="Quarters">[1]Codes!$A$25:$A$28</definedName>
    <definedName name="refCategory">'[5]Reference Values'!$B$20:$B$26</definedName>
    <definedName name="refIgnore">#REF!</definedName>
    <definedName name="refImpact">'[5]Reference Values'!$B$39:$B$43</definedName>
    <definedName name="refProbability">'[5]Reference Values'!$B$32:$B$36</definedName>
    <definedName name="refRiskRankingTable">#REF!</definedName>
    <definedName name="refRRImpact">'[5]Reference Values'!$B$39:$C$43</definedName>
    <definedName name="refRRProbability">'[5]Reference Values'!$B$32:$C$36</definedName>
    <definedName name="Reporting_Level_Title">'[1]First Sheet'!$B$10</definedName>
    <definedName name="RoleList">OFFSET([4]Sheet2!$A$1,0,0,COUNTA([4]Sheet2!$A:$A),1)</definedName>
    <definedName name="RolesLSE">OFFSET([4]RolesLSE!$A$1,0,0,COUNTA([4]RolesLSE!$A:$A),1)</definedName>
    <definedName name="Row_height">[1]Codes!$A$53</definedName>
    <definedName name="Selected_Unit_Title">'[1]First Sheet'!$B$13</definedName>
    <definedName name="SF">[2]DropDownMenus!$Q$2:$Q$13</definedName>
    <definedName name="Summary_Sheet_Title">[1]Codes!$A$39</definedName>
    <definedName name="Timing">[2]DropDownMenus!$O$1:$O$3</definedName>
    <definedName name="Unit_Selected">'[1]First Sheet'!$A$13</definedName>
    <definedName name="Unit_Titles">[1]Codes!$B$16:$E$22</definedName>
    <definedName name="valuevx">42.314159</definedName>
    <definedName name="WIF">[2]DropDownMenus!$U$2:$U$16</definedName>
    <definedName name="Yes_No">[1]Codes!$A$6:$A$7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1" l="1"/>
  <c r="C2" i="11"/>
  <c r="D58" i="11" l="1"/>
  <c r="D50" i="11"/>
  <c r="C36" i="11" l="1"/>
  <c r="D4" i="7" l="1"/>
  <c r="D4" i="6"/>
  <c r="D3" i="5" l="1"/>
  <c r="F3" i="11"/>
  <c r="F2" i="11"/>
  <c r="C7" i="11" l="1"/>
  <c r="C6" i="11"/>
  <c r="C3" i="4"/>
  <c r="D3" i="4" s="1"/>
  <c r="E3" i="4" s="1"/>
  <c r="F3" i="4" s="1"/>
  <c r="G3" i="4" s="1"/>
  <c r="H3" i="4" s="1"/>
  <c r="I3" i="4" s="1"/>
  <c r="J3" i="4" s="1"/>
  <c r="K3" i="4" s="1"/>
  <c r="L3" i="4" s="1"/>
  <c r="M3" i="4" s="1"/>
  <c r="N3" i="4" s="1"/>
  <c r="O3" i="4" s="1"/>
  <c r="P3" i="4" s="1"/>
  <c r="Q3" i="4" s="1"/>
  <c r="R3" i="4" s="1"/>
  <c r="S3" i="4" s="1"/>
  <c r="C2" i="10" l="1"/>
  <c r="G14" i="2" l="1"/>
  <c r="G13" i="2"/>
  <c r="G12" i="2"/>
  <c r="D18" i="1" l="1"/>
  <c r="AA33" i="1" l="1"/>
  <c r="AA35" i="1"/>
  <c r="AA31" i="1"/>
  <c r="I51" i="1"/>
  <c r="I54" i="1" s="1"/>
  <c r="Z31" i="1"/>
  <c r="Z35" i="1"/>
  <c r="Z33" i="1"/>
  <c r="E51" i="1"/>
  <c r="E54" i="1" s="1"/>
  <c r="G51" i="1"/>
  <c r="G54" i="1" s="1"/>
  <c r="K51" i="1"/>
  <c r="K54" i="1" s="1"/>
  <c r="C51" i="1"/>
  <c r="C54" i="1" s="1"/>
  <c r="B33" i="4"/>
  <c r="H33" i="4"/>
  <c r="I33" i="4"/>
  <c r="J33" i="4"/>
  <c r="K33" i="4"/>
  <c r="L33" i="4"/>
  <c r="M33" i="4"/>
  <c r="N33" i="4"/>
  <c r="S33" i="4"/>
  <c r="R33" i="4"/>
  <c r="Q33" i="4"/>
  <c r="P33" i="4"/>
  <c r="O33" i="4"/>
  <c r="G33" i="4"/>
  <c r="F33" i="4"/>
  <c r="E33" i="4"/>
  <c r="D33" i="4"/>
  <c r="C33" i="4"/>
  <c r="T32" i="4"/>
  <c r="T31" i="4"/>
  <c r="T30" i="4"/>
  <c r="T29" i="4"/>
  <c r="T28" i="4"/>
  <c r="T27" i="4"/>
  <c r="T26" i="4"/>
  <c r="T25" i="4"/>
  <c r="T24" i="4"/>
  <c r="T23" i="4"/>
  <c r="T22" i="4"/>
  <c r="T21" i="4"/>
  <c r="T20" i="4"/>
  <c r="T19" i="4"/>
  <c r="T18" i="4"/>
  <c r="T17" i="4"/>
  <c r="T16" i="4"/>
  <c r="T15" i="4"/>
  <c r="T14" i="4"/>
  <c r="T13" i="4"/>
  <c r="T12" i="4"/>
  <c r="T11" i="4"/>
  <c r="T10" i="4"/>
  <c r="T9" i="4"/>
  <c r="T8" i="4"/>
  <c r="T7" i="4"/>
  <c r="T6" i="4"/>
  <c r="T5" i="4"/>
  <c r="T4" i="4"/>
  <c r="T33" i="4" l="1"/>
  <c r="N18" i="1" s="1"/>
  <c r="M31" i="1"/>
  <c r="M35" i="1"/>
  <c r="M33" i="1"/>
  <c r="N16" i="1" l="1"/>
  <c r="G10" i="2"/>
  <c r="G7" i="2"/>
  <c r="G8" i="2"/>
  <c r="G9" i="2"/>
  <c r="G11" i="2"/>
  <c r="G6" i="2"/>
  <c r="G5" i="2"/>
  <c r="G4" i="2"/>
  <c r="D18" i="2" l="1"/>
  <c r="D19" i="2" s="1"/>
  <c r="N15" i="1" l="1"/>
  <c r="M53" i="1"/>
  <c r="M49" i="1"/>
  <c r="M50" i="1"/>
  <c r="M48" i="1"/>
  <c r="M51" i="1" l="1"/>
  <c r="M54" i="1" s="1"/>
</calcChain>
</file>

<file path=xl/comments1.xml><?xml version="1.0" encoding="utf-8"?>
<comments xmlns="http://schemas.openxmlformats.org/spreadsheetml/2006/main">
  <authors>
    <author>Justin Murdock</author>
  </authors>
  <commentList>
    <comment ref="N15" authorId="0" shapeId="0">
      <text>
        <r>
          <rPr>
            <b/>
            <sz val="9"/>
            <color indexed="81"/>
            <rFont val="Tahoma"/>
            <family val="2"/>
          </rPr>
          <t xml:space="preserve">Calculated score
</t>
        </r>
      </text>
    </comment>
    <comment ref="N16" authorId="0" shapeId="0">
      <text>
        <r>
          <rPr>
            <b/>
            <sz val="9"/>
            <color indexed="81"/>
            <rFont val="Tahoma"/>
            <family val="2"/>
          </rPr>
          <t>Calculated score</t>
        </r>
      </text>
    </comment>
    <comment ref="N18" authorId="0" shapeId="0">
      <text>
        <r>
          <rPr>
            <b/>
            <sz val="9"/>
            <color indexed="81"/>
            <rFont val="Tahoma"/>
            <family val="2"/>
          </rPr>
          <t>Calculated score</t>
        </r>
      </text>
    </comment>
  </commentList>
</comments>
</file>

<file path=xl/comments2.xml><?xml version="1.0" encoding="utf-8"?>
<comments xmlns="http://schemas.openxmlformats.org/spreadsheetml/2006/main">
  <authors>
    <author>Ammarah Abbasi</author>
  </authors>
  <commentList>
    <comment ref="D21" authorId="0" shapeId="0">
      <text>
        <r>
          <rPr>
            <sz val="8"/>
            <color indexed="81"/>
            <rFont val="Tahoma"/>
            <family val="2"/>
          </rPr>
          <t xml:space="preserve">Note </t>
        </r>
        <r>
          <rPr>
            <b/>
            <sz val="8"/>
            <color indexed="81"/>
            <rFont val="Tahoma"/>
            <family val="2"/>
          </rPr>
          <t>A</t>
        </r>
        <r>
          <rPr>
            <sz val="8"/>
            <color indexed="81"/>
            <rFont val="Tahoma"/>
            <family val="2"/>
          </rPr>
          <t xml:space="preserve"> for assumptions, </t>
        </r>
        <r>
          <rPr>
            <b/>
            <sz val="8"/>
            <color indexed="81"/>
            <rFont val="Tahoma"/>
            <family val="2"/>
          </rPr>
          <t>C</t>
        </r>
        <r>
          <rPr>
            <sz val="8"/>
            <color indexed="81"/>
            <rFont val="Tahoma"/>
            <family val="2"/>
          </rPr>
          <t xml:space="preserve"> for constraints
</t>
        </r>
      </text>
    </comment>
    <comment ref="E22" authorId="0" shapeId="0">
      <text>
        <r>
          <rPr>
            <sz val="8"/>
            <color indexed="81"/>
            <rFont val="Tahoma"/>
            <family val="2"/>
          </rPr>
          <t>This is a field you can use to identify risks by categories such as technological, personnel, etc.</t>
        </r>
      </text>
    </comment>
  </commentList>
</comments>
</file>

<file path=xl/comments3.xml><?xml version="1.0" encoding="utf-8"?>
<comments xmlns="http://schemas.openxmlformats.org/spreadsheetml/2006/main">
  <authors>
    <author>Mandi Allaire</author>
  </authors>
  <commentList>
    <comment ref="B3" authorId="0" shapeId="0">
      <text>
        <r>
          <rPr>
            <sz val="9"/>
            <color indexed="81"/>
            <rFont val="Tahoma"/>
            <family val="2"/>
          </rPr>
          <t xml:space="preserve">Enter the first date of the month the project will start.  </t>
        </r>
      </text>
    </comment>
  </commentList>
</comments>
</file>

<file path=xl/sharedStrings.xml><?xml version="1.0" encoding="utf-8"?>
<sst xmlns="http://schemas.openxmlformats.org/spreadsheetml/2006/main" count="617" uniqueCount="423">
  <si>
    <t xml:space="preserve"> </t>
  </si>
  <si>
    <t>Submission Date</t>
  </si>
  <si>
    <t>Approved</t>
  </si>
  <si>
    <t>Project Title</t>
  </si>
  <si>
    <t>Strata #</t>
  </si>
  <si>
    <t>Rejected</t>
  </si>
  <si>
    <t>Hold</t>
  </si>
  <si>
    <t>Project Description</t>
  </si>
  <si>
    <t>Other</t>
  </si>
  <si>
    <t>Business Sponsor</t>
  </si>
  <si>
    <t>Discovery Meeting Date</t>
  </si>
  <si>
    <t>Yes</t>
  </si>
  <si>
    <t xml:space="preserve">Requested </t>
  </si>
  <si>
    <t>No</t>
  </si>
  <si>
    <t>Proposed Go Live Date</t>
  </si>
  <si>
    <t>Sustaining Functionality</t>
  </si>
  <si>
    <t>New Product / Service</t>
  </si>
  <si>
    <t>Project is Mandated</t>
  </si>
  <si>
    <t>Impact</t>
  </si>
  <si>
    <t>Enhancement to Existing P/S</t>
  </si>
  <si>
    <t>(Regulatory or Compliance)</t>
  </si>
  <si>
    <t>Risk</t>
  </si>
  <si>
    <t>Governing Committee</t>
  </si>
  <si>
    <t>T-Shirt</t>
  </si>
  <si>
    <t>Project Outcomes</t>
  </si>
  <si>
    <t>Project Justification</t>
  </si>
  <si>
    <t>Risk Analysis - Risk of not doing</t>
  </si>
  <si>
    <t>Category</t>
  </si>
  <si>
    <t>Probability</t>
  </si>
  <si>
    <t>Risk Score</t>
  </si>
  <si>
    <t xml:space="preserve">Project Funding </t>
  </si>
  <si>
    <t>Grant</t>
  </si>
  <si>
    <t>Grant Name</t>
  </si>
  <si>
    <t>Amount</t>
  </si>
  <si>
    <t>Fiscal Year Carry Over</t>
  </si>
  <si>
    <t>Business OpEx</t>
  </si>
  <si>
    <t>Other Expenses</t>
  </si>
  <si>
    <t>Business CapEx</t>
  </si>
  <si>
    <t>Support Funding</t>
  </si>
  <si>
    <t>Fiscal Year 2</t>
  </si>
  <si>
    <t>Fiscal Year 3</t>
  </si>
  <si>
    <t>Fiscal Year 4</t>
  </si>
  <si>
    <t>Fiscal Year 5</t>
  </si>
  <si>
    <t>Total</t>
  </si>
  <si>
    <t>Maint/ License</t>
  </si>
  <si>
    <t>Services</t>
  </si>
  <si>
    <t>Hardware</t>
  </si>
  <si>
    <t>Combined Yearly</t>
  </si>
  <si>
    <t>PHI Implications</t>
  </si>
  <si>
    <t>PCI Implications</t>
  </si>
  <si>
    <t>FISMA Implications</t>
  </si>
  <si>
    <t>Support Hours</t>
  </si>
  <si>
    <t>Hosted Services</t>
  </si>
  <si>
    <t>IPT Involved</t>
  </si>
  <si>
    <t>Data</t>
  </si>
  <si>
    <t>Technical</t>
  </si>
  <si>
    <t>Security</t>
  </si>
  <si>
    <t>Applications</t>
  </si>
  <si>
    <t>Vendor Utilized</t>
  </si>
  <si>
    <t>Existing Relationship</t>
  </si>
  <si>
    <t xml:space="preserve">Decision Authority </t>
  </si>
  <si>
    <t>Decision</t>
  </si>
  <si>
    <t>(Individual or Committee)</t>
  </si>
  <si>
    <t>Decision Date</t>
  </si>
  <si>
    <t>Comments</t>
  </si>
  <si>
    <t>Project Submission Form</t>
  </si>
  <si>
    <t>Project:</t>
  </si>
  <si>
    <t>Project #:</t>
  </si>
  <si>
    <t>Project Manager:</t>
  </si>
  <si>
    <t>Sponsor:</t>
  </si>
  <si>
    <t>Customer Based Data</t>
  </si>
  <si>
    <t>Project Artifacts:</t>
  </si>
  <si>
    <t>Last Update:</t>
  </si>
  <si>
    <t>Background (Statement of Problem)</t>
  </si>
  <si>
    <r>
      <t xml:space="preserve">The "problem"                                                                                                       AFFECTS…... </t>
    </r>
    <r>
      <rPr>
        <sz val="10"/>
        <rFont val="Arial"/>
        <family val="2"/>
      </rPr>
      <t xml:space="preserve">(Users / stakeholders]…Who specifically is impacted? </t>
    </r>
    <r>
      <rPr>
        <b/>
        <sz val="10"/>
        <rFont val="Arial"/>
        <family val="2"/>
      </rPr>
      <t xml:space="preserve">
</t>
    </r>
  </si>
  <si>
    <t xml:space="preserve">Business need </t>
  </si>
  <si>
    <r>
      <t xml:space="preserve">the IMPACT of which is….                                                                                                </t>
    </r>
    <r>
      <rPr>
        <sz val="10"/>
        <rFont val="Arial"/>
        <family val="2"/>
      </rPr>
      <t>Statement of issues, costs, or other impacts]… Lacking a solution what are the impacts and outcomes suffered as a result of the business problem? (In other words, what’s the business driver; why may the company be compelled to solve the problem?)</t>
    </r>
  </si>
  <si>
    <t>Objectives (What is to be achieved)</t>
  </si>
  <si>
    <r>
      <t>A SUCCESSFUL SOLUTION would be …...</t>
    </r>
    <r>
      <rPr>
        <sz val="10"/>
        <rFont val="Arial"/>
        <family val="2"/>
      </rPr>
      <t>(Important benefits that would successfully solve the problem). What characteristics and qualities does an acceptable and/or compelling product / solution include? What would a (generic) product / solution do or have that addresses or resolves key issues and needs</t>
    </r>
  </si>
  <si>
    <t>Scope</t>
  </si>
  <si>
    <t>In Scope</t>
  </si>
  <si>
    <t>Out of Scope</t>
  </si>
  <si>
    <t>Solution Value</t>
  </si>
  <si>
    <t>Describe Value in terms of increased clinical, patient, or business value inside and outside WFBH.</t>
  </si>
  <si>
    <t>Deliverables (Deliverables and Associated Key Milestones)</t>
  </si>
  <si>
    <t>Deliverable</t>
  </si>
  <si>
    <t>Deliverable / Key Milestone Target Dates</t>
  </si>
  <si>
    <t>Kick-Off</t>
  </si>
  <si>
    <t xml:space="preserve">Identification of key metrics for measuring success of implementation and/or usage.
</t>
  </si>
  <si>
    <t>Design/Build</t>
  </si>
  <si>
    <t>Go-Live</t>
  </si>
  <si>
    <t>Value Options</t>
  </si>
  <si>
    <r>
      <t xml:space="preserve">Is this request to replace existing software? If yes, why is your current software inadequate? </t>
    </r>
    <r>
      <rPr>
        <sz val="10"/>
        <rFont val="Arial"/>
        <family val="2"/>
      </rPr>
      <t>Describe: Feature / function short comings, or express operational impacts / failures resulting from the existing software.</t>
    </r>
    <r>
      <rPr>
        <b/>
        <sz val="10"/>
        <rFont val="Arial"/>
        <family val="2"/>
      </rPr>
      <t xml:space="preserve">
</t>
    </r>
  </si>
  <si>
    <t>Vendor</t>
  </si>
  <si>
    <t>Vendor Solution (Product/ Component) Name(s)</t>
  </si>
  <si>
    <t>Vendor Contact</t>
  </si>
  <si>
    <r>
      <t xml:space="preserve">Is there any interim value that can be provided prior to the product / service delivery? </t>
    </r>
    <r>
      <rPr>
        <sz val="9"/>
        <rFont val="Arial"/>
        <family val="2"/>
      </rPr>
      <t>Express any additional value that could be achieved with existing owned business capabilities prior to purchase or delivery. Answer the question, if the purchase is delayed or not approved how will you gain value until purchase of the product / service? Identification of key metrics for measuring interim success are helpful</t>
    </r>
    <r>
      <rPr>
        <b/>
        <sz val="10"/>
        <rFont val="Arial"/>
        <family val="2"/>
      </rPr>
      <t xml:space="preserve">
</t>
    </r>
  </si>
  <si>
    <t>General Contract Terms</t>
  </si>
  <si>
    <t>Signatures</t>
  </si>
  <si>
    <t xml:space="preserve">What will be the impact(s) of the application / product to clinical operations?
</t>
  </si>
  <si>
    <t>Signature</t>
  </si>
  <si>
    <r>
      <t xml:space="preserve">Positive Impacts to clinical operations:  </t>
    </r>
    <r>
      <rPr>
        <sz val="10"/>
        <rFont val="Arial"/>
        <family val="2"/>
      </rPr>
      <t>How does the application / solution the operations environment in which it will operate?</t>
    </r>
    <r>
      <rPr>
        <b/>
        <sz val="10"/>
        <rFont val="Arial"/>
        <family val="2"/>
      </rPr>
      <t xml:space="preserve">
</t>
    </r>
  </si>
  <si>
    <r>
      <t xml:space="preserve">Negative Impacts / Risks to clinical operations:  </t>
    </r>
    <r>
      <rPr>
        <sz val="10"/>
        <rFont val="Arial"/>
        <family val="2"/>
      </rPr>
      <t>How does the application / solution  negatively affect the operations environment in which it will operate?  Are there any risks with the product in an operations environment?</t>
    </r>
    <r>
      <rPr>
        <b/>
        <sz val="10"/>
        <rFont val="Arial"/>
        <family val="2"/>
      </rPr>
      <t xml:space="preserve">
</t>
    </r>
  </si>
  <si>
    <t>Success Criteria</t>
  </si>
  <si>
    <t>Printed Name</t>
  </si>
  <si>
    <t>Date</t>
  </si>
  <si>
    <t xml:space="preserve">
ITS Sponsor</t>
  </si>
  <si>
    <t>Business Sponsor:</t>
  </si>
  <si>
    <t>Go-live</t>
  </si>
  <si>
    <t>Exisiting Contract</t>
  </si>
  <si>
    <t>New Contract</t>
  </si>
  <si>
    <t xml:space="preserve">      Start Date</t>
  </si>
  <si>
    <t xml:space="preserve">      End Date</t>
  </si>
  <si>
    <t xml:space="preserve">      Terms of Contract</t>
  </si>
  <si>
    <t>Impact Scoring</t>
  </si>
  <si>
    <t>Low Impact (1)</t>
  </si>
  <si>
    <t>Medium Impact (3)</t>
  </si>
  <si>
    <t>High Impact (5)</t>
  </si>
  <si>
    <t>Rating</t>
  </si>
  <si>
    <t>Weight</t>
  </si>
  <si>
    <t>Score</t>
  </si>
  <si>
    <t>Departments</t>
  </si>
  <si>
    <t>One</t>
  </si>
  <si>
    <t>One to Two</t>
  </si>
  <si>
    <t>At least three. Cross-functional team required</t>
  </si>
  <si>
    <t>Complexity</t>
  </si>
  <si>
    <t>Simple, requirements should be understood through an email</t>
  </si>
  <si>
    <t>Requirements need to be gathered through multiple meetings with a variety of stakeholders throughout campus </t>
  </si>
  <si>
    <t>Resolution Time</t>
  </si>
  <si>
    <t>&lt; 80 managed hours</t>
  </si>
  <si>
    <t>80-480 managed hours</t>
  </si>
  <si>
    <t>&gt;480 managed hours</t>
  </si>
  <si>
    <t>Deadline</t>
  </si>
  <si>
    <t>Flexible. Low impact</t>
  </si>
  <si>
    <t>Somewhat flexible. Some impact</t>
  </si>
  <si>
    <t>Fixed. Significant impact</t>
  </si>
  <si>
    <t>Cost</t>
  </si>
  <si>
    <t>Uses existing resources. No additional budget</t>
  </si>
  <si>
    <t>Requires budget up to $49,999</t>
  </si>
  <si>
    <t>Budget at least $50,000</t>
  </si>
  <si>
    <t>Resource Scarcity*</t>
  </si>
  <si>
    <t>No competing requests. Little to no impact on scarce resources</t>
  </si>
  <si>
    <t>Resource limited. Increased analysis and consideration of alternatives</t>
  </si>
  <si>
    <t>Resource intensive. Significant impact</t>
  </si>
  <si>
    <t>Risk / Visibility</t>
  </si>
  <si>
    <t>Low Risk. Project can revert to prior state easily. Little to no negative impact on stakeholders</t>
  </si>
  <si>
    <t>Moderate risk. Project can revert back with some downtime and loss of use. Failure may create moderate inconvenience and visibility</t>
  </si>
  <si>
    <t>High risk. High visibility. Significant impact on work processes. </t>
  </si>
  <si>
    <t>Funding</t>
  </si>
  <si>
    <t>The project is completely funded.</t>
  </si>
  <si>
    <t>The project is not completely funded.</t>
  </si>
  <si>
    <t>Patient Outcomes</t>
  </si>
  <si>
    <t>Does not affect patient outcomes</t>
  </si>
  <si>
    <t>Indirectly affects patient care, outcome.</t>
  </si>
  <si>
    <t>Improves patient care, outcome, and safety at all sites.</t>
  </si>
  <si>
    <t>Compliance/Contractual</t>
  </si>
  <si>
    <t>No contractual obligations or compliance impact</t>
  </si>
  <si>
    <t>Minor contractual obligation or compliance issue</t>
  </si>
  <si>
    <t>Major contractual obligation or compliance issue</t>
  </si>
  <si>
    <t>Ongoing Costs</t>
  </si>
  <si>
    <t>Negligible impact on staff to maintain with minimal budget impact</t>
  </si>
  <si>
    <t>Some impact on staffing less than 5 FTE to support with budget impact less than $100K</t>
  </si>
  <si>
    <t>Significant impact on staffing more than 5 FTE to support with budget impact over $100K</t>
  </si>
  <si>
    <t> *Resource scarcity can include key project participants with impacted schedules or new technology requiring skills and experience not currently available to the project team.</t>
  </si>
  <si>
    <t>Impact Score Range</t>
  </si>
  <si>
    <t>Impact Score</t>
  </si>
  <si>
    <t>Low Impact</t>
  </si>
  <si>
    <t>45-100</t>
  </si>
  <si>
    <t xml:space="preserve">Impact </t>
  </si>
  <si>
    <t>Medium Impact</t>
  </si>
  <si>
    <t>100-175</t>
  </si>
  <si>
    <t>High Impact</t>
  </si>
  <si>
    <t>175-225</t>
  </si>
  <si>
    <t>Technology Request Benefits Realization Template</t>
  </si>
  <si>
    <t>Request</t>
  </si>
  <si>
    <t>Business Outcome Benefits Realization Pathway</t>
  </si>
  <si>
    <t>Business Strategy</t>
  </si>
  <si>
    <t>Goals &amp; Objectives</t>
  </si>
  <si>
    <t>Key Business Objectives</t>
  </si>
  <si>
    <t>Key Performance Indicators</t>
  </si>
  <si>
    <t>Operational Indicators</t>
  </si>
  <si>
    <t>Measure Defined</t>
  </si>
  <si>
    <t>Unit of Measure</t>
  </si>
  <si>
    <t>Baseline Measure</t>
  </si>
  <si>
    <t>Target Measure</t>
  </si>
  <si>
    <t>Timeframe to Achieve</t>
  </si>
  <si>
    <t>Responsible Party for Measure</t>
  </si>
  <si>
    <t>What is to be accomplished?</t>
  </si>
  <si>
    <t>What are the Goals and objectives that will be realized with the strategy?</t>
  </si>
  <si>
    <t>What are the most important actionable steps to met he goals and objectives?</t>
  </si>
  <si>
    <t>What measures of success are tied to the drivers?</t>
  </si>
  <si>
    <t>Define operational Metrics</t>
  </si>
  <si>
    <t>Financial Indicators</t>
  </si>
  <si>
    <t>Define Financial Metric</t>
  </si>
  <si>
    <t>Strategic Indicators</t>
  </si>
  <si>
    <t>Define Strategic KPI</t>
  </si>
  <si>
    <t>Business Change Benefits Realization Pathway</t>
  </si>
  <si>
    <t>Business Problem</t>
  </si>
  <si>
    <t>Change</t>
  </si>
  <si>
    <t>Benefit</t>
  </si>
  <si>
    <t>Benefit Indicators</t>
  </si>
  <si>
    <t>Growth of Business</t>
  </si>
  <si>
    <t>What is the current business problem?</t>
  </si>
  <si>
    <t>What has to change within the business?</t>
  </si>
  <si>
    <t>What is the benefit of change?</t>
  </si>
  <si>
    <t>What measures are indicators of change?</t>
  </si>
  <si>
    <t>Define Growth Metrics</t>
  </si>
  <si>
    <t>Transformation of Business</t>
  </si>
  <si>
    <t>Define Transformation Metrics</t>
  </si>
  <si>
    <t>Running of Business</t>
  </si>
  <si>
    <t>Define Business / Operational Metrics</t>
  </si>
  <si>
    <t xml:space="preserve">Process Outcome Benefits Realization Pathway                                                                                                                                                                    </t>
  </si>
  <si>
    <t>Business Impact</t>
  </si>
  <si>
    <t>Processes</t>
  </si>
  <si>
    <t>Process Input</t>
  </si>
  <si>
    <t>Process Activities</t>
  </si>
  <si>
    <t>Process Outcomes</t>
  </si>
  <si>
    <t>What business capabilities are impacted?</t>
  </si>
  <si>
    <t>What is a  key process associated with capabilities?</t>
  </si>
  <si>
    <t>What are the resource contribution changes?</t>
  </si>
  <si>
    <t>What work is conducted to achieve objectives &amp; Activities directly linked to outcomes?</t>
  </si>
  <si>
    <t>What are the product or service delivered?</t>
  </si>
  <si>
    <t>Resource Productivity</t>
  </si>
  <si>
    <t>Resource Volumes</t>
  </si>
  <si>
    <t>Process Effectiveness</t>
  </si>
  <si>
    <t>Process Reliability</t>
  </si>
  <si>
    <t>Process Cycle time</t>
  </si>
  <si>
    <t>Process Cost</t>
  </si>
  <si>
    <t>Process Compliance</t>
  </si>
  <si>
    <t>Process Quality</t>
  </si>
  <si>
    <t>Product / Service Cost</t>
  </si>
  <si>
    <t>Resource Estimates by Assignment Group - Hours by Month</t>
  </si>
  <si>
    <t>Assignment Group</t>
  </si>
  <si>
    <t>Total Hours</t>
  </si>
  <si>
    <t>PROJECT CHANGE REQUEST FORM</t>
  </si>
  <si>
    <t>Change Request Number</t>
  </si>
  <si>
    <t>Project #</t>
  </si>
  <si>
    <t>Date:</t>
  </si>
  <si>
    <t>Project Name:</t>
  </si>
  <si>
    <t>Change Details</t>
  </si>
  <si>
    <t>Change Requested By:</t>
  </si>
  <si>
    <t>Email Address:</t>
  </si>
  <si>
    <t xml:space="preserve">Contact Number: </t>
  </si>
  <si>
    <t>Location:</t>
  </si>
  <si>
    <t>Reason For Change:</t>
  </si>
  <si>
    <t>Change Impact Analysis</t>
  </si>
  <si>
    <t>Action</t>
  </si>
  <si>
    <t>(How/What/Where/When?)</t>
  </si>
  <si>
    <t>Number of people responsible for carrying out change/ impact analysis:</t>
  </si>
  <si>
    <t>How will this Change affect the following?</t>
  </si>
  <si>
    <t>Delivery Date:</t>
  </si>
  <si>
    <t>Cost:</t>
  </si>
  <si>
    <t>Schedule:</t>
  </si>
  <si>
    <t>Scope:</t>
  </si>
  <si>
    <t>Authorization</t>
  </si>
  <si>
    <t>Expenditure Approved</t>
  </si>
  <si>
    <t>Sponsor Sign Off:</t>
  </si>
  <si>
    <t>ITS Sign Off:</t>
  </si>
  <si>
    <t>Change Close-Out</t>
  </si>
  <si>
    <t>Follow up Comments:</t>
  </si>
  <si>
    <t>Has appropriate and effective action been implemented?</t>
  </si>
  <si>
    <t>Business Sponsor Name:</t>
  </si>
  <si>
    <t>Project Manager Name:</t>
  </si>
  <si>
    <t>Committees</t>
  </si>
  <si>
    <t>Assignment Groups</t>
  </si>
  <si>
    <t>IT Steering Committee (ITSC)</t>
  </si>
  <si>
    <t>3M</t>
  </si>
  <si>
    <t>CEO Council (CEOC)</t>
  </si>
  <si>
    <t>Academic Applications (Education)</t>
  </si>
  <si>
    <t>Chief Medical Officers (CMO)</t>
  </si>
  <si>
    <t>Academic Applications (Research)</t>
  </si>
  <si>
    <t>Ambulatory Systems</t>
  </si>
  <si>
    <t>ARB</t>
  </si>
  <si>
    <t>Beaker</t>
  </si>
  <si>
    <t>Cadence</t>
  </si>
  <si>
    <t>ClinDoc</t>
  </si>
  <si>
    <t>Clinical Device Integration</t>
  </si>
  <si>
    <t>Clinical Research</t>
  </si>
  <si>
    <t>Collaboration Services</t>
  </si>
  <si>
    <t>Configuration Management</t>
  </si>
  <si>
    <t>Core Client Services</t>
  </si>
  <si>
    <t>Cornerstone AMB</t>
  </si>
  <si>
    <t xml:space="preserve">Data Management - Analytics </t>
  </si>
  <si>
    <t>Data Management - Application Development</t>
  </si>
  <si>
    <t>Data Management - Data Archive</t>
  </si>
  <si>
    <t>Data Management - Data Integration</t>
  </si>
  <si>
    <t>Database Administration</t>
  </si>
  <si>
    <t>Datacenter Operations</t>
  </si>
  <si>
    <t>Davie Region</t>
  </si>
  <si>
    <t>EIO Refresh Team</t>
  </si>
  <si>
    <t>Emergency Services</t>
  </si>
  <si>
    <t>Enterprise Applications</t>
  </si>
  <si>
    <t>Enterprise Architecture</t>
  </si>
  <si>
    <t>Enterprise Storage</t>
  </si>
  <si>
    <t>Epic Data Courier Clarity</t>
  </si>
  <si>
    <t>Epic Technical</t>
  </si>
  <si>
    <t>Facilities Administration</t>
  </si>
  <si>
    <t>Grand Central/Prelude</t>
  </si>
  <si>
    <t>High Point Region</t>
  </si>
  <si>
    <t>HIM (ITS)</t>
  </si>
  <si>
    <t>Hospital Based Billing</t>
  </si>
  <si>
    <t>Hospital Based Claims</t>
  </si>
  <si>
    <t>Imaging Systems Cupid</t>
  </si>
  <si>
    <t>Imaging Systems PACS</t>
  </si>
  <si>
    <t>Imaging Systems Radiant</t>
  </si>
  <si>
    <t xml:space="preserve">InfoSec - Business Continuity </t>
  </si>
  <si>
    <t>InfoSec - Cybersecurity</t>
  </si>
  <si>
    <t>InfoSec - EPIC Access and Security</t>
  </si>
  <si>
    <t>InfoSec - FISMA</t>
  </si>
  <si>
    <t>InfoSec - Identity and Access</t>
  </si>
  <si>
    <t>InfoSec - Payment Card Services (PCI)</t>
  </si>
  <si>
    <t>InfoSec - Risk and Compliance</t>
  </si>
  <si>
    <t>IP Orders</t>
  </si>
  <si>
    <t>IT Hardware Logistics &amp; Equipment Dispos</t>
  </si>
  <si>
    <t>IT Service Management</t>
  </si>
  <si>
    <t>ITS Accounting and Finance</t>
  </si>
  <si>
    <t>ITS Clinical Informatics</t>
  </si>
  <si>
    <t>ITS-PMO</t>
  </si>
  <si>
    <t>Lexington Region</t>
  </si>
  <si>
    <t>Messaging Services</t>
  </si>
  <si>
    <t>Multimedia</t>
  </si>
  <si>
    <t>Network Engineering</t>
  </si>
  <si>
    <t>Nursing Informatics</t>
  </si>
  <si>
    <t>OnBase</t>
  </si>
  <si>
    <t>Oncology (Beacon)</t>
  </si>
  <si>
    <t>Perioperative</t>
  </si>
  <si>
    <t>Pharmacy (Willow)</t>
  </si>
  <si>
    <t>Professional Billing</t>
  </si>
  <si>
    <t>Professional Billing Claims</t>
  </si>
  <si>
    <t>Quality MU</t>
  </si>
  <si>
    <t>Radiation Oncology</t>
  </si>
  <si>
    <t>Research Technology Support</t>
  </si>
  <si>
    <t>Server Operations</t>
  </si>
  <si>
    <t>Shared Services Applications</t>
  </si>
  <si>
    <t>Student Technical Support</t>
  </si>
  <si>
    <t>Telecommunications</t>
  </si>
  <si>
    <t>Unix/Linux Server Admin</t>
  </si>
  <si>
    <t>Vendor Management</t>
  </si>
  <si>
    <t>Virtual Health Services</t>
  </si>
  <si>
    <t>WakeOne Training</t>
  </si>
  <si>
    <t>Wilkes Region</t>
  </si>
  <si>
    <t>Winston Region</t>
  </si>
  <si>
    <t>Winston Region - OR Technical Support</t>
  </si>
  <si>
    <t>Wireless</t>
  </si>
  <si>
    <t>InfoSec-Threat and Vulnerability Managem</t>
  </si>
  <si>
    <t>What will be the impact(s) of the application / product to clinical operations?</t>
  </si>
  <si>
    <t>Proposed End Date</t>
  </si>
  <si>
    <r>
      <t xml:space="preserve">Objectives 
</t>
    </r>
    <r>
      <rPr>
        <i/>
        <sz val="11"/>
        <color theme="0"/>
        <rFont val="Arial"/>
        <family val="2"/>
      </rPr>
      <t>(What is to be achieved)</t>
    </r>
  </si>
  <si>
    <r>
      <t xml:space="preserve">Background </t>
    </r>
    <r>
      <rPr>
        <i/>
        <sz val="11"/>
        <color theme="0"/>
        <rFont val="Arial"/>
        <family val="2"/>
      </rPr>
      <t>(Statement of Problem)</t>
    </r>
  </si>
  <si>
    <r>
      <t xml:space="preserve">Deliverables </t>
    </r>
    <r>
      <rPr>
        <i/>
        <sz val="11"/>
        <color theme="0"/>
        <rFont val="Arial"/>
        <family val="2"/>
      </rPr>
      <t>(Deliverables and Associated Key Milestones)</t>
    </r>
  </si>
  <si>
    <r>
      <t xml:space="preserve">Vendor Solution </t>
    </r>
    <r>
      <rPr>
        <i/>
        <sz val="11"/>
        <color theme="0"/>
        <rFont val="Arial"/>
        <family val="2"/>
      </rPr>
      <t xml:space="preserve">(Product/ Component) </t>
    </r>
    <r>
      <rPr>
        <b/>
        <sz val="12"/>
        <color theme="0"/>
        <rFont val="Arial"/>
        <family val="2"/>
      </rPr>
      <t>Name(s)</t>
    </r>
  </si>
  <si>
    <t>Proposed Start Date</t>
  </si>
  <si>
    <r>
      <t>Fiscal Year 1</t>
    </r>
    <r>
      <rPr>
        <i/>
        <sz val="10"/>
        <color theme="1"/>
        <rFont val="Arial"/>
        <family val="2"/>
      </rPr>
      <t xml:space="preserve"> (Project)</t>
    </r>
  </si>
  <si>
    <r>
      <t xml:space="preserve">The "problem" AFFECTS…... 
</t>
    </r>
    <r>
      <rPr>
        <sz val="11"/>
        <rFont val="Arial"/>
        <family val="2"/>
      </rPr>
      <t xml:space="preserve">(Users / stakeholders]…Who specifically is impacted? </t>
    </r>
    <r>
      <rPr>
        <b/>
        <sz val="11"/>
        <rFont val="Arial"/>
        <family val="2"/>
      </rPr>
      <t xml:space="preserve">
</t>
    </r>
  </si>
  <si>
    <r>
      <t xml:space="preserve">the IMPACT of which is…. 
</t>
    </r>
    <r>
      <rPr>
        <sz val="11"/>
        <rFont val="Arial"/>
        <family val="2"/>
      </rPr>
      <t>Statement of issues, costs, or other impacts]… Lacking a solution what are the impacts and outcomes suffered as a result of the business problem? (In other words, what’s the business driver; why may the company be compelled to solve the problem?)</t>
    </r>
  </si>
  <si>
    <r>
      <t xml:space="preserve">A SUCCESSFUL SOLUTION would be …...
</t>
    </r>
    <r>
      <rPr>
        <sz val="11"/>
        <rFont val="Arial"/>
        <family val="2"/>
      </rPr>
      <t>(Important benefits that would successfully solve the problem). What characteristics and qualities does an acceptable and/or compelling product / solution include? What would a (generic) product / solution do or have that addresses or resolves key issues and needs</t>
    </r>
  </si>
  <si>
    <r>
      <t xml:space="preserve">Is this request to replace existing software? If yes, why is your current software inadequate? </t>
    </r>
    <r>
      <rPr>
        <sz val="11"/>
        <rFont val="Arial"/>
        <family val="2"/>
      </rPr>
      <t>Describe: Feature / function short comings, or express operational impacts / failures resulting from the existing software.</t>
    </r>
    <r>
      <rPr>
        <b/>
        <sz val="11"/>
        <rFont val="Arial"/>
        <family val="2"/>
      </rPr>
      <t xml:space="preserve">
</t>
    </r>
  </si>
  <si>
    <r>
      <t xml:space="preserve">Is there any interim value that can be provided prior to the product / service delivery? </t>
    </r>
    <r>
      <rPr>
        <sz val="11"/>
        <rFont val="Arial"/>
        <family val="2"/>
      </rPr>
      <t>Express any additional value that could be achieved with existing owned business capabilities prior to purchase or delivery. Answer the question, if the purchase is delayed or not approved how will you gain value until purchase of the product / service? Identification of key metrics for measuring interim success are helpful</t>
    </r>
    <r>
      <rPr>
        <b/>
        <sz val="11"/>
        <rFont val="Arial"/>
        <family val="2"/>
      </rPr>
      <t xml:space="preserve">
</t>
    </r>
  </si>
  <si>
    <r>
      <t xml:space="preserve">Positive Impacts to clinical operations:  </t>
    </r>
    <r>
      <rPr>
        <sz val="11"/>
        <rFont val="Arial"/>
        <family val="2"/>
      </rPr>
      <t>How does the application / solution the operations environment in which it will operate?</t>
    </r>
    <r>
      <rPr>
        <b/>
        <sz val="11"/>
        <rFont val="Arial"/>
        <family val="2"/>
      </rPr>
      <t xml:space="preserve">
</t>
    </r>
  </si>
  <si>
    <r>
      <t xml:space="preserve">Negative Impacts / Risks to clinical operations:  </t>
    </r>
    <r>
      <rPr>
        <sz val="11"/>
        <rFont val="Arial"/>
        <family val="2"/>
      </rPr>
      <t>How does the application / solution  negatively affect the operations environment in which it will operate?  Are there any risks with the product in an operations environment?</t>
    </r>
    <r>
      <rPr>
        <b/>
        <sz val="11"/>
        <rFont val="Arial"/>
        <family val="2"/>
      </rPr>
      <t xml:space="preserve">
</t>
    </r>
  </si>
  <si>
    <t>Is funding needed?</t>
  </si>
  <si>
    <t>IAS Project Intake</t>
  </si>
  <si>
    <t>IAS SN #</t>
  </si>
  <si>
    <t>IAS Project Sponsor</t>
  </si>
  <si>
    <t>IAS Services</t>
  </si>
  <si>
    <t>IAS OpEx</t>
  </si>
  <si>
    <t>IAS CapEx</t>
  </si>
  <si>
    <t>IAS Opinion</t>
  </si>
  <si>
    <t>IAS concerns or issues with project or work effort</t>
  </si>
  <si>
    <t>IAS Annual</t>
  </si>
  <si>
    <t xml:space="preserve">IAS Standards Compliant </t>
  </si>
  <si>
    <t>IAS Reviews Completed</t>
  </si>
  <si>
    <t>IAS Reviews Satisfactory</t>
  </si>
  <si>
    <t xml:space="preserve">To be completed by IAS Project Review Committee indicating if the project is approved or not. </t>
  </si>
  <si>
    <t xml:space="preserve">
IAS Sponsor</t>
  </si>
  <si>
    <t>Requirements should be understood by IAS through one meeting involving one or two customers</t>
  </si>
  <si>
    <r>
      <rPr>
        <b/>
        <sz val="16"/>
        <color theme="9"/>
        <rFont val="Arial"/>
        <family val="2"/>
      </rPr>
      <t>IAS to fill out</t>
    </r>
    <r>
      <rPr>
        <b/>
        <sz val="16"/>
        <color theme="0"/>
        <rFont val="Arial"/>
        <family val="2"/>
      </rPr>
      <t xml:space="preserve"> - IAS Resource Estimates</t>
    </r>
  </si>
  <si>
    <t>CloudMed DRG Validation &amp; Underpayment Implementation</t>
  </si>
  <si>
    <t xml:space="preserve">Accurate DRG selection &amp; payer payment according to contract are critical to maximized revenue. Implementing CloudMed's DRG Validation &amp; Underpayment Services is expected to increase revenue by $1M-$7M annually. 2022 AHWFB Budget expects $500k for both. If not implemented by May 2022, this revenue will be delayed &amp; cause negative variance to budget. </t>
  </si>
  <si>
    <t>Deliver necessary technical enablers based on CloudMed's implementation plan, and support Operations to ensure smooth operationalization of tech enablers.</t>
  </si>
  <si>
    <t xml:space="preserve">Implement CloudMed services by May 2022 and begin realizing additional revenue by July 2022, for a total of $500k for each service in 2022. </t>
  </si>
  <si>
    <t xml:space="preserve">2022 AHWFB Budget expects $500k for both. If not implemented by May 2022, this revenue will be delayed &amp; cause negative variance to budget. </t>
  </si>
  <si>
    <t>Negative Budget Variance of $1M</t>
  </si>
  <si>
    <t>Business</t>
  </si>
  <si>
    <t>Likely</t>
  </si>
  <si>
    <t>Major</t>
  </si>
  <si>
    <t>CloudMed</t>
  </si>
  <si>
    <t>Underpays, D. Lauten; DRG Val, G. DiCrocco</t>
  </si>
  <si>
    <t>DRG Validation - Data Spec, scheduled for recurring submission via sFTP drop</t>
  </si>
  <si>
    <t>Underpayments - Data Spec (same as above, + Epic Application build</t>
  </si>
  <si>
    <t>i.e. WQ's, Claim Edits, Billing Indicators, etc</t>
  </si>
  <si>
    <t>May change after Ops designs future state once IT approval and kick-off can occur</t>
  </si>
  <si>
    <t>Check with Atrium IAS</t>
  </si>
  <si>
    <t>Justin Licht &lt;Justin.Licht@cloudmed.com&gt;</t>
  </si>
  <si>
    <t>Every employee in AHWFB</t>
  </si>
  <si>
    <t>Accurate DRG selection &amp; payer payment according to contract are critical to maximized revenue. Implementing CloudMed's DRG Validation &amp; Underpayment Services is expected to increase revenue by $1M-$7M annually. 2022 AHWFB Budget expects $500k for both. If not implemented by May 2022, this revenue will be delayed &amp; cause negative variance to budget. 
This project critical to increasing AHWFB's margin. Without this project, margin target may not be hit. If 1% is not achieved, then each employee does not get additional 1% employer base retirement contribution which is contingent on &gt; 1% margin</t>
  </si>
  <si>
    <t>Implemented by 5/1/2022 and realizing additional revenue by 7/1/2022</t>
  </si>
  <si>
    <t>Operating as secondary behind current vendors (STAT Rev for Underpayments and Enjoin for DRG Validation)</t>
  </si>
  <si>
    <t xml:space="preserve">We have already engaged in recurring performance meetings with existing vendors through PFS VMO. This has driven up Enjoin performance by $10.6M since January 2020. however, improvement is leveling out, indicating need for other effort. </t>
  </si>
  <si>
    <t>More revenue means more investment in clinical operations</t>
  </si>
  <si>
    <t>None</t>
  </si>
  <si>
    <t>Critical that one Project Manager oversees all aspects of implementation (this is PFS PM, with insight into IT)</t>
  </si>
  <si>
    <t>Critical that ITS identify resources to complete build and engaged in kick-off.</t>
  </si>
  <si>
    <t>IT PM would help with IT work coordination</t>
  </si>
  <si>
    <t>Underpayment Recoveries as % NPSR
DRG Improvement as % IP Payments
Baselines on both have been determined</t>
  </si>
  <si>
    <t>Payer Contracts provided and loaded</t>
  </si>
  <si>
    <t>ITS Build</t>
  </si>
  <si>
    <t>Ops Design</t>
  </si>
  <si>
    <t>3/7-4/15</t>
  </si>
  <si>
    <t>This is current draft of timeline, given project is still in Initiation Phase</t>
  </si>
  <si>
    <t>3/7-4/4</t>
  </si>
  <si>
    <t>Testing</t>
  </si>
  <si>
    <t>4/16-4/30</t>
  </si>
  <si>
    <t>Training</t>
  </si>
  <si>
    <t>Revenue Realization Begins</t>
  </si>
  <si>
    <t>Project Closure - operationalization</t>
  </si>
  <si>
    <t>Hard dates are  Go-live and revenue realization dates</t>
  </si>
  <si>
    <t>Underpayment Recovery</t>
  </si>
  <si>
    <t>Underpayment as % NPSR</t>
  </si>
  <si>
    <t>DRG Improvement</t>
  </si>
  <si>
    <t>C. Brown</t>
  </si>
  <si>
    <t>DRG Improvement as % IP Payments</t>
  </si>
  <si>
    <t>Robert Oliver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</si>
</sst>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43" formatCode="_(* #,##0.00_);_(* \(#,##0.00\);_(* &quot;-&quot;??_);_(@_)"/>
    <numFmt numFmtId="164" formatCode="[$-409]mmm\-yy;@"/>
  </numFmts>
  <fonts count="56" x14ac:knownFonts="1">
    <font>
      <sz val="11"/>
      <color theme="1"/>
      <name val="Calibri"/>
      <family val="2"/>
      <scheme val="minor"/>
    </font>
    <font>
      <sz val="12"/>
      <color theme="1"/>
      <name val="Arial"/>
      <family val="2"/>
    </font>
    <font>
      <sz val="11"/>
      <color theme="1"/>
      <name val="Calibri"/>
      <family val="2"/>
      <scheme val="minor"/>
    </font>
    <font>
      <b/>
      <sz val="12"/>
      <color rgb="FF4D4D4D"/>
      <name val="Arial"/>
      <family val="2"/>
    </font>
    <font>
      <sz val="12"/>
      <color rgb="FF4D4D4D"/>
      <name val="Arial"/>
      <family val="2"/>
    </font>
    <font>
      <sz val="11"/>
      <color rgb="FF333333"/>
      <name val="Arial"/>
      <family val="2"/>
    </font>
    <font>
      <sz val="11.5"/>
      <color theme="1"/>
      <name val="Arial"/>
      <family val="2"/>
    </font>
    <font>
      <sz val="11"/>
      <color theme="1"/>
      <name val="Arial"/>
      <family val="2"/>
    </font>
    <font>
      <sz val="10"/>
      <color theme="0"/>
      <name val="Arial"/>
      <family val="2"/>
    </font>
    <font>
      <sz val="9"/>
      <color theme="0"/>
      <name val="Arial"/>
      <family val="2"/>
    </font>
    <font>
      <b/>
      <sz val="16"/>
      <name val="Arial"/>
      <family val="2"/>
    </font>
    <font>
      <b/>
      <sz val="11"/>
      <name val="Arial"/>
      <family val="2"/>
    </font>
    <font>
      <sz val="12"/>
      <color theme="1"/>
      <name val="Calibri"/>
      <family val="2"/>
      <scheme val="minor"/>
    </font>
    <font>
      <sz val="10"/>
      <name val="Arial"/>
      <family val="2"/>
    </font>
    <font>
      <b/>
      <sz val="9"/>
      <color indexed="81"/>
      <name val="Tahoma"/>
      <family val="2"/>
    </font>
    <font>
      <sz val="10"/>
      <name val="Arial"/>
      <family val="2"/>
    </font>
    <font>
      <b/>
      <sz val="22"/>
      <name val="Arial"/>
      <family val="2"/>
    </font>
    <font>
      <sz val="22"/>
      <name val="Arial"/>
      <family val="2"/>
    </font>
    <font>
      <b/>
      <sz val="10"/>
      <color indexed="62"/>
      <name val="Arial"/>
      <family val="2"/>
    </font>
    <font>
      <b/>
      <sz val="10"/>
      <name val="Arial"/>
      <family val="2"/>
    </font>
    <font>
      <b/>
      <sz val="12"/>
      <color indexed="9"/>
      <name val="Arial"/>
      <family val="2"/>
    </font>
    <font>
      <sz val="12"/>
      <color indexed="9"/>
      <name val="Arial"/>
      <family val="2"/>
    </font>
    <font>
      <b/>
      <sz val="9"/>
      <name val="Arial"/>
      <family val="2"/>
    </font>
    <font>
      <sz val="10"/>
      <color indexed="9"/>
      <name val="Arial"/>
      <family val="2"/>
    </font>
    <font>
      <sz val="9"/>
      <name val="Arial"/>
      <family val="2"/>
    </font>
    <font>
      <sz val="8"/>
      <color indexed="81"/>
      <name val="Tahoma"/>
      <family val="2"/>
    </font>
    <font>
      <b/>
      <sz val="8"/>
      <color indexed="81"/>
      <name val="Tahoma"/>
      <family val="2"/>
    </font>
    <font>
      <b/>
      <sz val="10"/>
      <color theme="0"/>
      <name val="Arial"/>
      <family val="2"/>
    </font>
    <font>
      <b/>
      <sz val="14"/>
      <color theme="0"/>
      <name val="Arial"/>
      <family val="2"/>
    </font>
    <font>
      <b/>
      <sz val="14"/>
      <name val="Arial"/>
      <family val="2"/>
    </font>
    <font>
      <sz val="9"/>
      <color indexed="81"/>
      <name val="Tahoma"/>
      <family val="2"/>
    </font>
    <font>
      <b/>
      <sz val="12"/>
      <color theme="0"/>
      <name val="Arial"/>
      <family val="2"/>
    </font>
    <font>
      <sz val="12"/>
      <color theme="0"/>
      <name val="Arial"/>
      <family val="2"/>
    </font>
    <font>
      <b/>
      <sz val="11"/>
      <color theme="0"/>
      <name val="Arial"/>
      <family val="2"/>
    </font>
    <font>
      <b/>
      <sz val="16"/>
      <color theme="0"/>
      <name val="Arial"/>
      <family val="2"/>
    </font>
    <font>
      <sz val="12"/>
      <name val="Arial"/>
      <family val="2"/>
    </font>
    <font>
      <b/>
      <sz val="22"/>
      <color theme="4" tint="-0.499984740745262"/>
      <name val="Arial"/>
      <family val="2"/>
    </font>
    <font>
      <b/>
      <sz val="20"/>
      <color theme="4" tint="-0.499984740745262"/>
      <name val="Arial"/>
      <family val="2"/>
    </font>
    <font>
      <sz val="16"/>
      <color theme="1"/>
      <name val="Arial"/>
      <family val="2"/>
    </font>
    <font>
      <b/>
      <i/>
      <sz val="10"/>
      <name val="Arial"/>
      <family val="2"/>
    </font>
    <font>
      <sz val="11"/>
      <color theme="9" tint="-0.249977111117893"/>
      <name val="Arial"/>
      <family val="2"/>
    </font>
    <font>
      <sz val="11"/>
      <name val="Arial"/>
      <family val="2"/>
    </font>
    <font>
      <b/>
      <sz val="12"/>
      <name val="Arial"/>
      <family val="2"/>
    </font>
    <font>
      <b/>
      <i/>
      <sz val="14"/>
      <name val="Arial"/>
      <family val="2"/>
    </font>
    <font>
      <sz val="14"/>
      <name val="Arial"/>
      <family val="2"/>
    </font>
    <font>
      <sz val="14"/>
      <color theme="1"/>
      <name val="Arial"/>
      <family val="2"/>
    </font>
    <font>
      <sz val="11"/>
      <color theme="0"/>
      <name val="Arial"/>
      <family val="2"/>
    </font>
    <font>
      <b/>
      <sz val="16"/>
      <color theme="9"/>
      <name val="Arial"/>
      <family val="2"/>
    </font>
    <font>
      <i/>
      <sz val="11"/>
      <color theme="0"/>
      <name val="Arial"/>
      <family val="2"/>
    </font>
    <font>
      <b/>
      <sz val="11"/>
      <color theme="1"/>
      <name val="Arial"/>
      <family val="2"/>
    </font>
    <font>
      <b/>
      <u/>
      <sz val="11"/>
      <color theme="1"/>
      <name val="Arial"/>
      <family val="2"/>
    </font>
    <font>
      <b/>
      <i/>
      <sz val="11"/>
      <color theme="1"/>
      <name val="Arial"/>
      <family val="2"/>
    </font>
    <font>
      <i/>
      <sz val="11"/>
      <color theme="1"/>
      <name val="Arial"/>
      <family val="2"/>
    </font>
    <font>
      <i/>
      <sz val="10"/>
      <color theme="1"/>
      <name val="Arial"/>
      <family val="2"/>
    </font>
    <font>
      <b/>
      <sz val="14"/>
      <color theme="1"/>
      <name val="Arial"/>
      <family val="2"/>
    </font>
    <font>
      <sz val="11"/>
      <name val="Calibri"/>
      <family val="2"/>
      <scheme val="minor"/>
    </font>
  </fonts>
  <fills count="20">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2" tint="-0.749992370372631"/>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indexed="9"/>
        <bgColor indexed="64"/>
      </patternFill>
    </fill>
    <fill>
      <patternFill patternType="solid">
        <fgColor theme="2"/>
        <bgColor indexed="64"/>
      </patternFill>
    </fill>
    <fill>
      <patternFill patternType="solid">
        <fgColor theme="7" tint="-0.249977111117893"/>
        <bgColor indexed="64"/>
      </patternFill>
    </fill>
    <fill>
      <patternFill patternType="solid">
        <fgColor indexed="22"/>
        <bgColor indexed="64"/>
      </patternFill>
    </fill>
    <fill>
      <patternFill patternType="solid">
        <fgColor theme="2" tint="-9.9978637043366805E-2"/>
        <bgColor indexed="64"/>
      </patternFill>
    </fill>
    <fill>
      <patternFill patternType="solid">
        <fgColor rgb="FFC0C0C0"/>
        <bgColor indexed="64"/>
      </patternFill>
    </fill>
    <fill>
      <patternFill patternType="solid">
        <fgColor rgb="FF9E7E38"/>
        <bgColor indexed="64"/>
      </patternFill>
    </fill>
    <fill>
      <patternFill patternType="solid">
        <fgColor theme="4"/>
        <bgColor indexed="64"/>
      </patternFill>
    </fill>
    <fill>
      <patternFill patternType="solid">
        <fgColor theme="1" tint="0.79998168889431442"/>
        <bgColor indexed="64"/>
      </patternFill>
    </fill>
    <fill>
      <patternFill patternType="solid">
        <fgColor theme="1" tint="0.59999389629810485"/>
        <bgColor indexed="64"/>
      </patternFill>
    </fill>
    <fill>
      <patternFill patternType="solid">
        <fgColor theme="5" tint="0.79998168889431442"/>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rgb="FF000000"/>
      </left>
      <right style="thin">
        <color rgb="FF000000"/>
      </right>
      <top style="dotted">
        <color rgb="FFDDDDCC"/>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top style="thin">
        <color indexed="64"/>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theme="0"/>
      </right>
      <top/>
      <bottom/>
      <diagonal/>
    </border>
    <border>
      <left style="medium">
        <color indexed="64"/>
      </left>
      <right style="medium">
        <color indexed="64"/>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style="medium">
        <color indexed="64"/>
      </left>
      <right style="medium">
        <color indexed="64"/>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medium">
        <color indexed="64"/>
      </left>
      <right style="medium">
        <color indexed="64"/>
      </right>
      <top style="thin">
        <color theme="0" tint="-0.34998626667073579"/>
      </top>
      <bottom style="thin">
        <color theme="0" tint="-0.34998626667073579"/>
      </bottom>
      <diagonal/>
    </border>
    <border>
      <left style="medium">
        <color auto="1"/>
      </left>
      <right style="thin">
        <color theme="0" tint="-0.34998626667073579"/>
      </right>
      <top style="thin">
        <color theme="0" tint="-0.34998626667073579"/>
      </top>
      <bottom style="medium">
        <color auto="1"/>
      </bottom>
      <diagonal/>
    </border>
    <border>
      <left style="thin">
        <color theme="0" tint="-0.34998626667073579"/>
      </left>
      <right style="thin">
        <color theme="0" tint="-0.34998626667073579"/>
      </right>
      <top style="thin">
        <color theme="0" tint="-0.34998626667073579"/>
      </top>
      <bottom style="medium">
        <color auto="1"/>
      </bottom>
      <diagonal/>
    </border>
    <border>
      <left style="thin">
        <color theme="0" tint="-0.34998626667073579"/>
      </left>
      <right/>
      <top style="thin">
        <color theme="0" tint="-0.34998626667073579"/>
      </top>
      <bottom style="medium">
        <color auto="1"/>
      </bottom>
      <diagonal/>
    </border>
    <border>
      <left style="medium">
        <color auto="1"/>
      </left>
      <right style="medium">
        <color auto="1"/>
      </right>
      <top style="thin">
        <color theme="0" tint="-0.34998626667073579"/>
      </top>
      <bottom style="medium">
        <color indexed="64"/>
      </bottom>
      <diagonal/>
    </border>
    <border>
      <left style="thin">
        <color theme="0" tint="-0.34998626667073579"/>
      </left>
      <right style="thin">
        <color theme="0" tint="-0.34998626667073579"/>
      </right>
      <top/>
      <bottom style="medium">
        <color auto="1"/>
      </bottom>
      <diagonal/>
    </border>
    <border>
      <left style="thin">
        <color theme="0" tint="-0.34998626667073579"/>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0" tint="-0.34998626667073579"/>
      </right>
      <top/>
      <bottom style="thin">
        <color theme="0" tint="-0.34998626667073579"/>
      </bottom>
      <diagonal/>
    </border>
    <border>
      <left style="medium">
        <color auto="1"/>
      </left>
      <right style="thin">
        <color theme="0" tint="-0.34998626667073579"/>
      </right>
      <top style="thin">
        <color theme="0" tint="-0.34998626667073579"/>
      </top>
      <bottom style="thin">
        <color theme="0" tint="-0.34998626667073579"/>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medium">
        <color auto="1"/>
      </bottom>
      <diagonal/>
    </border>
    <border>
      <left/>
      <right style="thin">
        <color theme="0" tint="-0.34998626667073579"/>
      </right>
      <top/>
      <bottom style="medium">
        <color auto="1"/>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top/>
      <bottom style="thin">
        <color theme="0" tint="-0.34998626667073579"/>
      </bottom>
      <diagonal/>
    </border>
    <border>
      <left style="medium">
        <color indexed="64"/>
      </left>
      <right style="medium">
        <color indexed="64"/>
      </right>
      <top style="medium">
        <color indexed="64"/>
      </top>
      <bottom/>
      <diagonal/>
    </border>
    <border>
      <left style="thin">
        <color theme="0" tint="-0.34998626667073579"/>
      </left>
      <right style="medium">
        <color indexed="64"/>
      </right>
      <top style="thin">
        <color theme="0" tint="-0.34998626667073579"/>
      </top>
      <bottom style="medium">
        <color indexed="64"/>
      </bottom>
      <diagonal/>
    </border>
    <border>
      <left style="thin">
        <color theme="0" tint="-0.34998626667073579"/>
      </left>
      <right style="medium">
        <color indexed="64"/>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medium">
        <color indexed="64"/>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medium">
        <color indexed="64"/>
      </left>
      <right style="thin">
        <color theme="0" tint="-0.34998626667073579"/>
      </right>
      <top style="medium">
        <color indexed="64"/>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000000"/>
      </left>
      <right style="thin">
        <color rgb="FF000000"/>
      </right>
      <top style="dotted">
        <color rgb="FFDDDDCC"/>
      </top>
      <bottom/>
      <diagonal/>
    </border>
    <border>
      <left style="thin">
        <color rgb="FF000000"/>
      </left>
      <right style="thin">
        <color rgb="FF000000"/>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7">
    <xf numFmtId="0" fontId="0" fillId="0" borderId="0"/>
    <xf numFmtId="43" fontId="2" fillId="0" borderId="0" applyFont="0" applyFill="0" applyBorder="0" applyAlignment="0" applyProtection="0"/>
    <xf numFmtId="44" fontId="2" fillId="0" borderId="0" applyFont="0" applyFill="0" applyBorder="0" applyAlignment="0" applyProtection="0"/>
    <xf numFmtId="0" fontId="12" fillId="0" borderId="0"/>
    <xf numFmtId="0" fontId="13" fillId="0" borderId="0"/>
    <xf numFmtId="43" fontId="13" fillId="0" borderId="0" applyFont="0" applyFill="0" applyBorder="0" applyAlignment="0" applyProtection="0"/>
    <xf numFmtId="0" fontId="15" fillId="0" borderId="0"/>
  </cellStyleXfs>
  <cellXfs count="692">
    <xf numFmtId="0" fontId="0" fillId="0" borderId="0" xfId="0"/>
    <xf numFmtId="0" fontId="15" fillId="0" borderId="0" xfId="6"/>
    <xf numFmtId="0" fontId="15" fillId="0" borderId="0" xfId="6" applyFill="1" applyBorder="1" applyAlignment="1">
      <alignment vertical="center"/>
    </xf>
    <xf numFmtId="0" fontId="15" fillId="9" borderId="0" xfId="6" applyFill="1" applyBorder="1" applyAlignment="1">
      <alignment vertical="center"/>
    </xf>
    <xf numFmtId="0" fontId="15" fillId="9" borderId="0" xfId="6" applyFill="1"/>
    <xf numFmtId="0" fontId="15" fillId="0" borderId="0" xfId="6" applyAlignment="1">
      <alignment vertical="center"/>
    </xf>
    <xf numFmtId="0" fontId="15" fillId="0" borderId="0" xfId="6" applyFill="1" applyAlignment="1">
      <alignment wrapText="1"/>
    </xf>
    <xf numFmtId="0" fontId="15" fillId="0" borderId="0" xfId="6" applyFill="1"/>
    <xf numFmtId="0" fontId="19" fillId="0" borderId="0" xfId="6" applyFont="1" applyFill="1" applyAlignment="1">
      <alignment vertical="center" wrapText="1"/>
    </xf>
    <xf numFmtId="0" fontId="15" fillId="0" borderId="0" xfId="6" applyFill="1" applyAlignment="1">
      <alignment vertical="center" wrapText="1"/>
    </xf>
    <xf numFmtId="0" fontId="15" fillId="0" borderId="0" xfId="6" applyAlignment="1">
      <alignment wrapText="1"/>
    </xf>
    <xf numFmtId="0" fontId="15" fillId="10" borderId="0" xfId="6" applyFill="1"/>
    <xf numFmtId="0" fontId="18" fillId="11" borderId="0" xfId="6" applyFont="1" applyFill="1"/>
    <xf numFmtId="0" fontId="15" fillId="11" borderId="0" xfId="6" applyFill="1"/>
    <xf numFmtId="0" fontId="18" fillId="4" borderId="0" xfId="6" applyFont="1" applyFill="1"/>
    <xf numFmtId="0" fontId="19" fillId="4" borderId="0" xfId="6" applyFont="1" applyFill="1" applyBorder="1" applyAlignment="1">
      <alignment vertical="center"/>
    </xf>
    <xf numFmtId="0" fontId="19" fillId="4" borderId="0" xfId="6" applyFont="1" applyFill="1" applyBorder="1"/>
    <xf numFmtId="0" fontId="15" fillId="4" borderId="0" xfId="6" applyFill="1"/>
    <xf numFmtId="0" fontId="15" fillId="4" borderId="0" xfId="6" applyFill="1" applyBorder="1" applyAlignment="1">
      <alignment vertical="center"/>
    </xf>
    <xf numFmtId="0" fontId="15" fillId="4" borderId="0" xfId="6" applyFill="1" applyBorder="1"/>
    <xf numFmtId="0" fontId="19" fillId="4" borderId="0" xfId="6" applyFont="1" applyFill="1" applyBorder="1" applyAlignment="1">
      <alignment horizontal="right" vertical="center"/>
    </xf>
    <xf numFmtId="0" fontId="19" fillId="4" borderId="0" xfId="6" applyFont="1" applyFill="1" applyAlignment="1">
      <alignment vertical="center" wrapText="1"/>
    </xf>
    <xf numFmtId="0" fontId="19" fillId="4" borderId="0" xfId="6" applyFont="1" applyFill="1" applyBorder="1" applyAlignment="1">
      <alignment vertical="center" wrapText="1"/>
    </xf>
    <xf numFmtId="0" fontId="15" fillId="4" borderId="0" xfId="6" applyFill="1" applyAlignment="1"/>
    <xf numFmtId="0" fontId="19" fillId="4" borderId="0" xfId="6" applyFont="1" applyFill="1" applyAlignment="1">
      <alignment vertical="center"/>
    </xf>
    <xf numFmtId="0" fontId="19" fillId="4" borderId="0" xfId="6" applyFont="1" applyFill="1"/>
    <xf numFmtId="0" fontId="15" fillId="4" borderId="0" xfId="6" applyFill="1" applyAlignment="1">
      <alignment wrapText="1"/>
    </xf>
    <xf numFmtId="0" fontId="22" fillId="10" borderId="0" xfId="6" applyFont="1" applyFill="1" applyAlignment="1">
      <alignment vertical="center" wrapText="1"/>
    </xf>
    <xf numFmtId="0" fontId="19" fillId="10" borderId="0" xfId="6" applyFont="1" applyFill="1" applyAlignment="1">
      <alignment horizontal="center" vertical="center" wrapText="1"/>
    </xf>
    <xf numFmtId="0" fontId="19" fillId="10" borderId="0" xfId="6" applyFont="1" applyFill="1" applyAlignment="1">
      <alignment horizontal="right" vertical="center"/>
    </xf>
    <xf numFmtId="0" fontId="15" fillId="3" borderId="0" xfId="6" applyFill="1" applyAlignment="1">
      <alignment vertical="center" wrapText="1"/>
    </xf>
    <xf numFmtId="0" fontId="19" fillId="10" borderId="0" xfId="6" applyFont="1" applyFill="1" applyAlignment="1">
      <alignment vertical="center"/>
    </xf>
    <xf numFmtId="0" fontId="13" fillId="12" borderId="0" xfId="4" applyFont="1" applyFill="1"/>
    <xf numFmtId="0" fontId="13" fillId="0" borderId="0" xfId="4" applyFont="1"/>
    <xf numFmtId="0" fontId="13" fillId="10" borderId="0" xfId="4" applyFont="1" applyFill="1"/>
    <xf numFmtId="0" fontId="13" fillId="12" borderId="0" xfId="4" applyFont="1" applyFill="1" applyAlignment="1">
      <alignment vertical="top"/>
    </xf>
    <xf numFmtId="0" fontId="13" fillId="0" borderId="0" xfId="4" applyFont="1" applyAlignment="1">
      <alignment vertical="top"/>
    </xf>
    <xf numFmtId="0" fontId="13" fillId="0" borderId="0" xfId="4" applyFont="1" applyFill="1"/>
    <xf numFmtId="0" fontId="13" fillId="0" borderId="0" xfId="4" applyFont="1" applyFill="1" applyAlignment="1">
      <alignment vertical="top"/>
    </xf>
    <xf numFmtId="0" fontId="13" fillId="12" borderId="0" xfId="4" applyFont="1" applyFill="1" applyAlignment="1">
      <alignment vertical="top" wrapText="1"/>
    </xf>
    <xf numFmtId="0" fontId="13" fillId="12" borderId="0" xfId="4" applyFont="1" applyFill="1" applyAlignment="1">
      <alignment wrapText="1"/>
    </xf>
    <xf numFmtId="0" fontId="19" fillId="4" borderId="8" xfId="4" applyFont="1" applyFill="1" applyBorder="1" applyAlignment="1">
      <alignment horizontal="left" vertical="top"/>
    </xf>
    <xf numFmtId="0" fontId="19" fillId="4" borderId="1" xfId="4" applyFont="1" applyFill="1" applyBorder="1" applyAlignment="1">
      <alignment horizontal="left" vertical="top"/>
    </xf>
    <xf numFmtId="0" fontId="13" fillId="13" borderId="2" xfId="4" applyFont="1" applyFill="1" applyBorder="1" applyAlignment="1">
      <alignment horizontal="left" vertical="top"/>
    </xf>
    <xf numFmtId="0" fontId="24" fillId="12" borderId="0" xfId="4" applyFont="1" applyFill="1" applyAlignment="1">
      <alignment vertical="top"/>
    </xf>
    <xf numFmtId="0" fontId="24" fillId="0" borderId="0" xfId="4" applyFont="1" applyAlignment="1">
      <alignment vertical="top"/>
    </xf>
    <xf numFmtId="0" fontId="13" fillId="14" borderId="0" xfId="4" applyFont="1" applyFill="1" applyAlignment="1">
      <alignment vertical="top"/>
    </xf>
    <xf numFmtId="0" fontId="22" fillId="2" borderId="13" xfId="4" applyFont="1" applyFill="1" applyBorder="1" applyAlignment="1">
      <alignment vertical="top"/>
    </xf>
    <xf numFmtId="0" fontId="22" fillId="4" borderId="4" xfId="4" applyFont="1" applyFill="1" applyBorder="1" applyAlignment="1">
      <alignment vertical="top"/>
    </xf>
    <xf numFmtId="0" fontId="22" fillId="4" borderId="62" xfId="4" applyFont="1" applyFill="1" applyBorder="1" applyAlignment="1">
      <alignment horizontal="right" vertical="top"/>
    </xf>
    <xf numFmtId="0" fontId="13" fillId="4" borderId="8" xfId="4" applyFont="1" applyFill="1" applyBorder="1" applyAlignment="1">
      <alignment vertical="top"/>
    </xf>
    <xf numFmtId="0" fontId="19" fillId="4" borderId="47" xfId="4" applyFont="1" applyFill="1" applyBorder="1" applyAlignment="1">
      <alignment horizontal="right" vertical="top" indent="1"/>
    </xf>
    <xf numFmtId="0" fontId="19" fillId="4" borderId="66" xfId="4" applyFont="1" applyFill="1" applyBorder="1" applyAlignment="1">
      <alignment vertical="top"/>
    </xf>
    <xf numFmtId="0" fontId="19" fillId="4" borderId="68" xfId="4" applyFont="1" applyFill="1" applyBorder="1" applyAlignment="1">
      <alignment vertical="top"/>
    </xf>
    <xf numFmtId="0" fontId="22" fillId="13" borderId="68" xfId="4" applyFont="1" applyFill="1" applyBorder="1" applyAlignment="1">
      <alignment vertical="top"/>
    </xf>
    <xf numFmtId="14" fontId="13" fillId="13" borderId="69" xfId="4" applyNumberFormat="1" applyFont="1" applyFill="1" applyBorder="1" applyAlignment="1">
      <alignment horizontal="left" vertical="top"/>
    </xf>
    <xf numFmtId="0" fontId="22" fillId="2" borderId="73" xfId="4" applyFont="1" applyFill="1" applyBorder="1" applyAlignment="1">
      <alignment vertical="top"/>
    </xf>
    <xf numFmtId="0" fontId="22" fillId="2" borderId="74" xfId="4" applyFont="1" applyFill="1" applyBorder="1" applyAlignment="1">
      <alignment vertical="top"/>
    </xf>
    <xf numFmtId="0" fontId="22" fillId="4" borderId="71" xfId="4" applyFont="1" applyFill="1" applyBorder="1" applyAlignment="1">
      <alignment vertical="top"/>
    </xf>
    <xf numFmtId="0" fontId="13" fillId="4" borderId="46" xfId="4" applyFont="1" applyFill="1" applyBorder="1" applyAlignment="1">
      <alignment vertical="top"/>
    </xf>
    <xf numFmtId="0" fontId="9" fillId="0" borderId="0" xfId="4" applyFont="1" applyFill="1" applyAlignment="1">
      <alignment vertical="top"/>
    </xf>
    <xf numFmtId="0" fontId="8" fillId="0" borderId="0" xfId="4" applyFont="1" applyFill="1" applyAlignment="1">
      <alignment vertical="top"/>
    </xf>
    <xf numFmtId="0" fontId="8" fillId="0" borderId="0" xfId="4" applyFont="1" applyFill="1" applyAlignment="1">
      <alignment vertical="top" wrapText="1"/>
    </xf>
    <xf numFmtId="0" fontId="8" fillId="0" borderId="0" xfId="4" applyFont="1" applyFill="1" applyAlignment="1">
      <alignment wrapText="1"/>
    </xf>
    <xf numFmtId="0" fontId="8" fillId="0" borderId="0" xfId="4" applyFont="1" applyFill="1"/>
    <xf numFmtId="0" fontId="13" fillId="14" borderId="0" xfId="4" applyFont="1" applyFill="1"/>
    <xf numFmtId="0" fontId="13" fillId="12" borderId="17" xfId="4" applyFont="1" applyFill="1" applyBorder="1"/>
    <xf numFmtId="0" fontId="13" fillId="12" borderId="18" xfId="4" applyFont="1" applyFill="1" applyBorder="1"/>
    <xf numFmtId="0" fontId="13" fillId="12" borderId="19" xfId="4" applyFont="1" applyFill="1" applyBorder="1" applyAlignment="1">
      <alignment vertical="top"/>
    </xf>
    <xf numFmtId="0" fontId="13" fillId="12" borderId="0" xfId="4" applyFont="1" applyFill="1" applyBorder="1"/>
    <xf numFmtId="0" fontId="13" fillId="12" borderId="20" xfId="4" applyFont="1" applyFill="1" applyBorder="1"/>
    <xf numFmtId="0" fontId="13" fillId="14" borderId="19" xfId="4" applyFont="1" applyFill="1" applyBorder="1" applyAlignment="1">
      <alignment vertical="top"/>
    </xf>
    <xf numFmtId="0" fontId="13" fillId="14" borderId="0" xfId="4" applyFont="1" applyFill="1" applyBorder="1"/>
    <xf numFmtId="0" fontId="13" fillId="14" borderId="20" xfId="4" applyFont="1" applyFill="1" applyBorder="1"/>
    <xf numFmtId="0" fontId="13" fillId="12" borderId="0" xfId="4" applyFont="1" applyFill="1" applyBorder="1" applyAlignment="1">
      <alignment vertical="top" wrapText="1"/>
    </xf>
    <xf numFmtId="0" fontId="13" fillId="12" borderId="0" xfId="4" applyFont="1" applyFill="1" applyBorder="1" applyAlignment="1">
      <alignment wrapText="1"/>
    </xf>
    <xf numFmtId="0" fontId="13" fillId="12" borderId="37" xfId="4" applyFont="1" applyFill="1" applyBorder="1" applyAlignment="1">
      <alignment vertical="top" wrapText="1"/>
    </xf>
    <xf numFmtId="0" fontId="13" fillId="12" borderId="37" xfId="4" applyFont="1" applyFill="1" applyBorder="1" applyAlignment="1">
      <alignment wrapText="1"/>
    </xf>
    <xf numFmtId="0" fontId="22" fillId="13" borderId="2" xfId="4" applyFont="1" applyFill="1" applyBorder="1" applyAlignment="1">
      <alignment vertical="top"/>
    </xf>
    <xf numFmtId="0" fontId="22" fillId="13" borderId="6" xfId="4" applyFont="1" applyFill="1" applyBorder="1" applyAlignment="1">
      <alignment vertical="top"/>
    </xf>
    <xf numFmtId="0" fontId="22" fillId="10" borderId="65" xfId="4" applyFont="1" applyFill="1" applyBorder="1" applyAlignment="1">
      <alignment vertical="top"/>
    </xf>
    <xf numFmtId="0" fontId="22" fillId="10" borderId="6" xfId="4" applyFont="1" applyFill="1" applyBorder="1" applyAlignment="1">
      <alignment vertical="top"/>
    </xf>
    <xf numFmtId="0" fontId="22" fillId="10" borderId="69" xfId="4" applyFont="1" applyFill="1" applyBorder="1" applyAlignment="1">
      <alignment vertical="top"/>
    </xf>
    <xf numFmtId="0" fontId="13" fillId="12" borderId="0" xfId="4" applyFont="1" applyFill="1" applyBorder="1" applyAlignment="1">
      <alignment vertical="top"/>
    </xf>
    <xf numFmtId="0" fontId="13" fillId="14" borderId="0" xfId="4" applyFont="1" applyFill="1" applyBorder="1" applyAlignment="1">
      <alignment vertical="top"/>
    </xf>
    <xf numFmtId="1" fontId="4" fillId="5" borderId="12" xfId="0" applyNumberFormat="1" applyFont="1" applyFill="1" applyBorder="1" applyAlignment="1" applyProtection="1">
      <alignment horizontal="center" vertical="center" wrapText="1"/>
    </xf>
    <xf numFmtId="1" fontId="3" fillId="5" borderId="12" xfId="0" applyNumberFormat="1" applyFont="1" applyFill="1" applyBorder="1" applyAlignment="1" applyProtection="1">
      <alignment horizontal="center" vertical="center" wrapText="1"/>
    </xf>
    <xf numFmtId="1" fontId="4" fillId="5" borderId="58" xfId="0" applyNumberFormat="1" applyFont="1" applyFill="1" applyBorder="1" applyAlignment="1" applyProtection="1">
      <alignment horizontal="center" vertical="center" wrapText="1"/>
    </xf>
    <xf numFmtId="1" fontId="3" fillId="5" borderId="58" xfId="0" applyNumberFormat="1" applyFont="1" applyFill="1" applyBorder="1" applyAlignment="1" applyProtection="1">
      <alignment horizontal="center" vertical="center" wrapText="1"/>
    </xf>
    <xf numFmtId="1" fontId="4" fillId="5" borderId="1" xfId="0" applyNumberFormat="1" applyFont="1" applyFill="1" applyBorder="1" applyAlignment="1" applyProtection="1">
      <alignment horizontal="center" vertical="center" wrapText="1"/>
    </xf>
    <xf numFmtId="1" fontId="3" fillId="5" borderId="1" xfId="0" applyNumberFormat="1" applyFont="1" applyFill="1" applyBorder="1" applyAlignment="1" applyProtection="1">
      <alignment horizontal="center" vertical="center" wrapText="1"/>
    </xf>
    <xf numFmtId="0" fontId="4" fillId="5" borderId="11" xfId="0" applyFont="1" applyFill="1" applyBorder="1" applyAlignment="1" applyProtection="1">
      <alignment vertical="top" wrapText="1"/>
    </xf>
    <xf numFmtId="0" fontId="4" fillId="5" borderId="57" xfId="0" applyFont="1" applyFill="1" applyBorder="1" applyAlignment="1" applyProtection="1">
      <alignment vertical="top" wrapText="1"/>
    </xf>
    <xf numFmtId="0" fontId="4" fillId="5" borderId="1" xfId="0" applyFont="1" applyFill="1" applyBorder="1" applyAlignment="1" applyProtection="1">
      <alignment vertical="top" wrapText="1"/>
    </xf>
    <xf numFmtId="0" fontId="6" fillId="0" borderId="1" xfId="0" applyFont="1" applyBorder="1" applyProtection="1"/>
    <xf numFmtId="0" fontId="6" fillId="0" borderId="1" xfId="0" applyFont="1" applyBorder="1" applyAlignment="1" applyProtection="1">
      <alignment horizontal="center" vertical="top"/>
    </xf>
    <xf numFmtId="1" fontId="4" fillId="5" borderId="12" xfId="0" applyNumberFormat="1" applyFont="1" applyFill="1" applyBorder="1" applyAlignment="1" applyProtection="1">
      <alignment horizontal="center" vertical="center" wrapText="1"/>
      <protection locked="0"/>
    </xf>
    <xf numFmtId="1" fontId="4" fillId="5" borderId="58" xfId="0" applyNumberFormat="1" applyFont="1" applyFill="1" applyBorder="1" applyAlignment="1" applyProtection="1">
      <alignment horizontal="center" vertical="center" wrapText="1"/>
      <protection locked="0"/>
    </xf>
    <xf numFmtId="1" fontId="4" fillId="5" borderId="1" xfId="0" applyNumberFormat="1" applyFont="1" applyFill="1" applyBorder="1" applyAlignment="1" applyProtection="1">
      <alignment horizontal="center" vertical="center" wrapText="1"/>
      <protection locked="0"/>
    </xf>
    <xf numFmtId="0" fontId="0" fillId="0" borderId="0" xfId="0" applyProtection="1"/>
    <xf numFmtId="0" fontId="22" fillId="4" borderId="62" xfId="4" applyFont="1" applyFill="1" applyBorder="1" applyAlignment="1" applyProtection="1">
      <alignment horizontal="right" vertical="top"/>
    </xf>
    <xf numFmtId="0" fontId="13" fillId="4" borderId="6" xfId="4" applyFont="1" applyFill="1" applyBorder="1" applyAlignment="1" applyProtection="1">
      <alignment vertical="top"/>
    </xf>
    <xf numFmtId="0" fontId="13" fillId="4" borderId="69" xfId="4" applyFont="1" applyFill="1" applyBorder="1" applyAlignment="1" applyProtection="1">
      <alignment vertical="top"/>
    </xf>
    <xf numFmtId="0" fontId="22" fillId="4" borderId="4" xfId="4" applyFont="1" applyFill="1" applyBorder="1" applyAlignment="1" applyProtection="1">
      <alignment vertical="top"/>
    </xf>
    <xf numFmtId="0" fontId="13" fillId="2" borderId="0" xfId="4" applyFont="1" applyFill="1" applyBorder="1" applyAlignment="1" applyProtection="1">
      <alignment wrapText="1"/>
    </xf>
    <xf numFmtId="0" fontId="13" fillId="2" borderId="20" xfId="4" applyFont="1" applyFill="1" applyBorder="1" applyAlignment="1" applyProtection="1">
      <alignment wrapText="1"/>
    </xf>
    <xf numFmtId="0" fontId="7" fillId="0" borderId="0" xfId="0" applyFont="1" applyProtection="1"/>
    <xf numFmtId="0" fontId="22" fillId="4" borderId="68" xfId="4" applyFont="1" applyFill="1" applyBorder="1" applyAlignment="1">
      <alignment horizontal="left" vertical="top" wrapText="1" indent="1"/>
    </xf>
    <xf numFmtId="0" fontId="15" fillId="0" borderId="0" xfId="6" applyFill="1" applyAlignment="1">
      <alignment vertical="center"/>
    </xf>
    <xf numFmtId="0" fontId="15" fillId="3" borderId="0" xfId="6" applyFill="1" applyAlignment="1">
      <alignment vertical="center"/>
    </xf>
    <xf numFmtId="0" fontId="19" fillId="10" borderId="0" xfId="6" applyFont="1" applyFill="1" applyAlignment="1">
      <alignment vertical="center" wrapText="1"/>
    </xf>
    <xf numFmtId="0" fontId="15" fillId="10" borderId="0" xfId="6" applyFill="1" applyAlignment="1">
      <alignment vertical="center" wrapText="1"/>
    </xf>
    <xf numFmtId="0" fontId="15" fillId="10" borderId="0" xfId="6" applyFill="1" applyAlignment="1">
      <alignment wrapText="1"/>
    </xf>
    <xf numFmtId="0" fontId="15" fillId="10" borderId="0" xfId="6" applyFill="1" applyAlignment="1">
      <alignment vertical="center"/>
    </xf>
    <xf numFmtId="0" fontId="13" fillId="4" borderId="19" xfId="4" applyFont="1" applyFill="1" applyBorder="1" applyAlignment="1" applyProtection="1">
      <alignment vertical="top"/>
    </xf>
    <xf numFmtId="0" fontId="13" fillId="4" borderId="0" xfId="4" applyFont="1" applyFill="1" applyBorder="1" applyAlignment="1" applyProtection="1">
      <alignment vertical="top"/>
    </xf>
    <xf numFmtId="0" fontId="13" fillId="4" borderId="20" xfId="4" applyFont="1" applyFill="1" applyBorder="1" applyAlignment="1" applyProtection="1">
      <alignment vertical="top"/>
    </xf>
    <xf numFmtId="0" fontId="13" fillId="4" borderId="0" xfId="4" applyFont="1" applyFill="1" applyBorder="1" applyAlignment="1" applyProtection="1">
      <alignment vertical="top" wrapText="1"/>
    </xf>
    <xf numFmtId="0" fontId="13" fillId="4" borderId="37" xfId="4" applyFont="1" applyFill="1" applyBorder="1" applyAlignment="1" applyProtection="1">
      <alignment vertical="top" wrapText="1"/>
    </xf>
    <xf numFmtId="0" fontId="13" fillId="4" borderId="0" xfId="4" applyFont="1" applyFill="1" applyBorder="1" applyAlignment="1" applyProtection="1">
      <alignment wrapText="1"/>
    </xf>
    <xf numFmtId="0" fontId="13" fillId="4" borderId="37" xfId="4" applyFont="1" applyFill="1" applyBorder="1" applyAlignment="1" applyProtection="1">
      <alignment wrapText="1"/>
    </xf>
    <xf numFmtId="0" fontId="13" fillId="4" borderId="18" xfId="4" applyFont="1" applyFill="1" applyBorder="1" applyAlignment="1" applyProtection="1">
      <alignment vertical="top" wrapText="1"/>
    </xf>
    <xf numFmtId="0" fontId="3" fillId="18" borderId="12" xfId="0" applyFont="1" applyFill="1" applyBorder="1" applyAlignment="1" applyProtection="1">
      <alignment horizontal="left" vertical="top" wrapText="1"/>
    </xf>
    <xf numFmtId="16" fontId="3" fillId="18" borderId="12" xfId="0" applyNumberFormat="1" applyFont="1" applyFill="1" applyBorder="1" applyAlignment="1" applyProtection="1">
      <alignment horizontal="center" vertical="top" wrapText="1"/>
    </xf>
    <xf numFmtId="0" fontId="3" fillId="18" borderId="12" xfId="0" applyFont="1" applyFill="1" applyBorder="1" applyAlignment="1" applyProtection="1">
      <alignment horizontal="center" vertical="top" wrapText="1"/>
    </xf>
    <xf numFmtId="16" fontId="3" fillId="18" borderId="12" xfId="0" applyNumberFormat="1" applyFont="1" applyFill="1" applyBorder="1" applyAlignment="1" applyProtection="1">
      <alignment vertical="top" wrapText="1"/>
    </xf>
    <xf numFmtId="0" fontId="3" fillId="18" borderId="11" xfId="0" applyFont="1" applyFill="1" applyBorder="1" applyAlignment="1" applyProtection="1">
      <alignment horizontal="left" vertical="top" wrapText="1"/>
    </xf>
    <xf numFmtId="0" fontId="3" fillId="18" borderId="57" xfId="0" applyFont="1" applyFill="1" applyBorder="1" applyAlignment="1" applyProtection="1">
      <alignment horizontal="left" vertical="top" wrapText="1"/>
    </xf>
    <xf numFmtId="0" fontId="3" fillId="18" borderId="1" xfId="0" applyFont="1" applyFill="1" applyBorder="1" applyAlignment="1" applyProtection="1">
      <alignment horizontal="left" vertical="top" wrapText="1"/>
    </xf>
    <xf numFmtId="0" fontId="1" fillId="0" borderId="0" xfId="3" applyFont="1"/>
    <xf numFmtId="0" fontId="1" fillId="0" borderId="0" xfId="3" applyFont="1" applyAlignment="1" applyProtection="1">
      <alignment wrapText="1"/>
    </xf>
    <xf numFmtId="0" fontId="35" fillId="0" borderId="0" xfId="3" applyFont="1" applyAlignment="1" applyProtection="1">
      <alignment wrapText="1"/>
    </xf>
    <xf numFmtId="0" fontId="1" fillId="0" borderId="0" xfId="3" applyFont="1" applyAlignment="1">
      <alignment vertical="center"/>
    </xf>
    <xf numFmtId="0" fontId="29" fillId="0" borderId="0" xfId="3" applyFont="1" applyAlignment="1" applyProtection="1">
      <alignment horizontal="left" vertical="center"/>
    </xf>
    <xf numFmtId="0" fontId="36" fillId="0" borderId="0" xfId="3" applyFont="1" applyAlignment="1" applyProtection="1">
      <alignment horizontal="left" vertical="center"/>
    </xf>
    <xf numFmtId="0" fontId="37" fillId="0" borderId="0" xfId="3" applyFont="1" applyAlignment="1" applyProtection="1">
      <alignment horizontal="left" vertical="center"/>
    </xf>
    <xf numFmtId="0" fontId="1" fillId="0" borderId="0" xfId="3" applyFont="1" applyAlignment="1" applyProtection="1">
      <alignment vertical="center"/>
    </xf>
    <xf numFmtId="0" fontId="35" fillId="0" borderId="0" xfId="3" applyFont="1" applyAlignment="1" applyProtection="1">
      <alignment vertical="center"/>
    </xf>
    <xf numFmtId="0" fontId="40" fillId="0" borderId="0" xfId="3" applyFont="1"/>
    <xf numFmtId="0" fontId="1" fillId="0" borderId="0" xfId="3" applyFont="1" applyProtection="1"/>
    <xf numFmtId="0" fontId="35" fillId="0" borderId="0" xfId="3" applyFont="1" applyProtection="1"/>
    <xf numFmtId="0" fontId="1" fillId="18" borderId="16" xfId="3" applyFont="1" applyFill="1" applyBorder="1" applyAlignment="1" applyProtection="1">
      <alignment wrapText="1"/>
    </xf>
    <xf numFmtId="0" fontId="1" fillId="18" borderId="19" xfId="3" applyFont="1" applyFill="1" applyBorder="1" applyAlignment="1" applyProtection="1">
      <alignment wrapText="1"/>
    </xf>
    <xf numFmtId="0" fontId="1" fillId="18" borderId="36" xfId="3" applyFont="1" applyFill="1" applyBorder="1" applyAlignment="1" applyProtection="1">
      <alignment wrapText="1"/>
    </xf>
    <xf numFmtId="0" fontId="1" fillId="18" borderId="37" xfId="3" applyFont="1" applyFill="1" applyBorder="1" applyAlignment="1" applyProtection="1">
      <alignment wrapText="1"/>
    </xf>
    <xf numFmtId="0" fontId="1" fillId="18" borderId="17" xfId="3" applyFont="1" applyFill="1" applyBorder="1" applyAlignment="1" applyProtection="1">
      <alignment wrapText="1"/>
    </xf>
    <xf numFmtId="0" fontId="1" fillId="18" borderId="18" xfId="3" applyFont="1" applyFill="1" applyBorder="1" applyAlignment="1" applyProtection="1">
      <alignment wrapText="1"/>
    </xf>
    <xf numFmtId="0" fontId="1" fillId="18" borderId="20" xfId="3" applyFont="1" applyFill="1" applyBorder="1" applyAlignment="1" applyProtection="1">
      <alignment wrapText="1"/>
    </xf>
    <xf numFmtId="0" fontId="1" fillId="18" borderId="38" xfId="3" applyFont="1" applyFill="1" applyBorder="1" applyAlignment="1" applyProtection="1">
      <alignment wrapText="1"/>
    </xf>
    <xf numFmtId="0" fontId="1" fillId="19" borderId="16" xfId="3" applyFont="1" applyFill="1" applyBorder="1" applyAlignment="1" applyProtection="1">
      <alignment wrapText="1"/>
    </xf>
    <xf numFmtId="0" fontId="1" fillId="19" borderId="19" xfId="3" applyFont="1" applyFill="1" applyBorder="1" applyAlignment="1" applyProtection="1">
      <alignment wrapText="1"/>
    </xf>
    <xf numFmtId="0" fontId="1" fillId="19" borderId="36" xfId="3" applyFont="1" applyFill="1" applyBorder="1" applyAlignment="1" applyProtection="1">
      <alignment wrapText="1"/>
    </xf>
    <xf numFmtId="0" fontId="35" fillId="18" borderId="18" xfId="3" applyFont="1" applyFill="1" applyBorder="1" applyAlignment="1" applyProtection="1">
      <alignment wrapText="1"/>
    </xf>
    <xf numFmtId="0" fontId="35" fillId="18" borderId="20" xfId="3" applyFont="1" applyFill="1" applyBorder="1" applyAlignment="1" applyProtection="1">
      <alignment wrapText="1"/>
    </xf>
    <xf numFmtId="0" fontId="35" fillId="18" borderId="38" xfId="3" applyFont="1" applyFill="1" applyBorder="1" applyAlignment="1" applyProtection="1">
      <alignment wrapText="1"/>
    </xf>
    <xf numFmtId="0" fontId="35" fillId="19" borderId="17" xfId="3" applyFont="1" applyFill="1" applyBorder="1" applyAlignment="1" applyProtection="1">
      <alignment wrapText="1"/>
    </xf>
    <xf numFmtId="0" fontId="39" fillId="19" borderId="17" xfId="3" applyFont="1" applyFill="1" applyBorder="1" applyAlignment="1" applyProtection="1">
      <alignment wrapText="1"/>
    </xf>
    <xf numFmtId="0" fontId="35" fillId="19" borderId="18" xfId="3" applyFont="1" applyFill="1" applyBorder="1" applyAlignment="1" applyProtection="1">
      <alignment wrapText="1"/>
    </xf>
    <xf numFmtId="0" fontId="40" fillId="19" borderId="19" xfId="3" applyFont="1" applyFill="1" applyBorder="1" applyAlignment="1" applyProtection="1">
      <alignment wrapText="1"/>
    </xf>
    <xf numFmtId="0" fontId="19" fillId="19" borderId="0" xfId="3" applyFont="1" applyFill="1" applyBorder="1" applyAlignment="1" applyProtection="1">
      <alignment wrapText="1"/>
    </xf>
    <xf numFmtId="0" fontId="41" fillId="19" borderId="20" xfId="3" applyFont="1" applyFill="1" applyBorder="1" applyAlignment="1" applyProtection="1">
      <alignment wrapText="1"/>
    </xf>
    <xf numFmtId="0" fontId="35" fillId="19" borderId="20" xfId="3" applyFont="1" applyFill="1" applyBorder="1" applyAlignment="1" applyProtection="1">
      <alignment wrapText="1"/>
    </xf>
    <xf numFmtId="0" fontId="35" fillId="19" borderId="38" xfId="3" applyFont="1" applyFill="1" applyBorder="1" applyAlignment="1" applyProtection="1">
      <alignment wrapText="1"/>
    </xf>
    <xf numFmtId="0" fontId="35" fillId="19" borderId="0" xfId="3" applyFont="1" applyFill="1" applyBorder="1" applyAlignment="1" applyProtection="1">
      <alignment wrapText="1"/>
    </xf>
    <xf numFmtId="0" fontId="42" fillId="19" borderId="17" xfId="3" applyFont="1" applyFill="1" applyBorder="1" applyAlignment="1" applyProtection="1">
      <alignment wrapText="1"/>
    </xf>
    <xf numFmtId="0" fontId="19" fillId="19" borderId="0" xfId="3" applyFont="1" applyFill="1" applyBorder="1" applyAlignment="1" applyProtection="1">
      <alignment vertical="center" wrapText="1"/>
    </xf>
    <xf numFmtId="0" fontId="35" fillId="19" borderId="37" xfId="3" applyFont="1" applyFill="1" applyBorder="1" applyAlignment="1" applyProtection="1">
      <alignment wrapText="1"/>
    </xf>
    <xf numFmtId="0" fontId="35" fillId="3" borderId="26" xfId="3" applyFont="1" applyFill="1" applyBorder="1" applyAlignment="1" applyProtection="1">
      <alignment horizontal="left" vertical="center" wrapText="1" indent="1"/>
    </xf>
    <xf numFmtId="0" fontId="35" fillId="3" borderId="30" xfId="3" applyFont="1" applyFill="1" applyBorder="1" applyAlignment="1" applyProtection="1">
      <alignment horizontal="left" vertical="center" wrapText="1" indent="1"/>
    </xf>
    <xf numFmtId="0" fontId="43" fillId="19" borderId="17" xfId="3" applyFont="1" applyFill="1" applyBorder="1" applyAlignment="1" applyProtection="1">
      <alignment wrapText="1"/>
    </xf>
    <xf numFmtId="0" fontId="29" fillId="19" borderId="0" xfId="3" applyFont="1" applyFill="1" applyBorder="1" applyAlignment="1" applyProtection="1">
      <alignment wrapText="1"/>
    </xf>
    <xf numFmtId="0" fontId="44" fillId="19" borderId="17" xfId="3" applyFont="1" applyFill="1" applyBorder="1" applyAlignment="1" applyProtection="1">
      <alignment wrapText="1"/>
    </xf>
    <xf numFmtId="0" fontId="10" fillId="0" borderId="0" xfId="3" applyFont="1" applyAlignment="1" applyProtection="1">
      <alignment horizontal="left" vertical="center"/>
    </xf>
    <xf numFmtId="0" fontId="41" fillId="3" borderId="26" xfId="3" applyFont="1" applyFill="1" applyBorder="1" applyAlignment="1" applyProtection="1">
      <alignment horizontal="left" vertical="center" wrapText="1" indent="1"/>
      <protection locked="0"/>
    </xf>
    <xf numFmtId="0" fontId="41" fillId="3" borderId="30" xfId="3" applyFont="1" applyFill="1" applyBorder="1" applyAlignment="1" applyProtection="1">
      <alignment horizontal="left" vertical="center" wrapText="1" indent="1"/>
      <protection locked="0"/>
    </xf>
    <xf numFmtId="0" fontId="45" fillId="18" borderId="37" xfId="3" applyFont="1" applyFill="1" applyBorder="1" applyAlignment="1" applyProtection="1">
      <alignment wrapText="1"/>
    </xf>
    <xf numFmtId="0" fontId="29" fillId="19" borderId="0" xfId="3" applyFont="1" applyFill="1" applyBorder="1" applyAlignment="1" applyProtection="1">
      <alignment vertical="center" wrapText="1"/>
    </xf>
    <xf numFmtId="0" fontId="35" fillId="8" borderId="0" xfId="3" applyFont="1" applyFill="1" applyBorder="1" applyAlignment="1" applyProtection="1">
      <alignment wrapText="1"/>
    </xf>
    <xf numFmtId="0" fontId="13" fillId="8" borderId="0" xfId="3" applyFont="1" applyFill="1" applyBorder="1" applyAlignment="1" applyProtection="1">
      <alignment horizontal="center" vertical="center" wrapText="1"/>
    </xf>
    <xf numFmtId="0" fontId="35" fillId="8" borderId="20" xfId="3" applyFont="1" applyFill="1" applyBorder="1" applyAlignment="1" applyProtection="1">
      <alignment wrapText="1"/>
    </xf>
    <xf numFmtId="0" fontId="1" fillId="8" borderId="19" xfId="3" applyFont="1" applyFill="1" applyBorder="1" applyAlignment="1" applyProtection="1">
      <alignment wrapText="1"/>
    </xf>
    <xf numFmtId="0" fontId="35" fillId="7" borderId="0" xfId="3" applyFont="1" applyFill="1" applyBorder="1" applyAlignment="1" applyProtection="1">
      <alignment wrapText="1"/>
    </xf>
    <xf numFmtId="0" fontId="13" fillId="7" borderId="0" xfId="3" applyFont="1" applyFill="1" applyBorder="1" applyAlignment="1" applyProtection="1">
      <alignment horizontal="center" vertical="center" wrapText="1"/>
    </xf>
    <xf numFmtId="0" fontId="35" fillId="7" borderId="20" xfId="3" applyFont="1" applyFill="1" applyBorder="1" applyAlignment="1" applyProtection="1">
      <alignment wrapText="1"/>
    </xf>
    <xf numFmtId="0" fontId="1" fillId="7" borderId="19" xfId="3" applyFont="1" applyFill="1" applyBorder="1" applyAlignment="1" applyProtection="1">
      <alignment wrapText="1"/>
    </xf>
    <xf numFmtId="0" fontId="35" fillId="6" borderId="20" xfId="3" applyFont="1" applyFill="1" applyBorder="1" applyAlignment="1" applyProtection="1">
      <alignment wrapText="1"/>
    </xf>
    <xf numFmtId="0" fontId="1" fillId="6" borderId="19" xfId="3" applyFont="1" applyFill="1" applyBorder="1" applyAlignment="1" applyProtection="1">
      <alignment wrapText="1"/>
    </xf>
    <xf numFmtId="0" fontId="1" fillId="6" borderId="36" xfId="3" applyFont="1" applyFill="1" applyBorder="1" applyAlignment="1" applyProtection="1">
      <alignment wrapText="1"/>
    </xf>
    <xf numFmtId="0" fontId="1" fillId="0" borderId="0" xfId="3" applyFont="1" applyFill="1" applyBorder="1"/>
    <xf numFmtId="0" fontId="35" fillId="0" borderId="0" xfId="3" applyFont="1" applyFill="1" applyBorder="1" applyAlignment="1">
      <alignment wrapText="1"/>
    </xf>
    <xf numFmtId="0" fontId="1" fillId="0" borderId="0" xfId="3" applyFont="1" applyBorder="1"/>
    <xf numFmtId="0" fontId="1" fillId="0" borderId="19" xfId="3" applyFont="1" applyBorder="1"/>
    <xf numFmtId="0" fontId="41" fillId="3" borderId="23" xfId="3" applyFont="1" applyFill="1" applyBorder="1" applyAlignment="1" applyProtection="1">
      <alignment horizontal="left" vertical="center" wrapText="1" indent="1"/>
      <protection locked="0"/>
    </xf>
    <xf numFmtId="0" fontId="41" fillId="3" borderId="56" xfId="3" applyFont="1" applyFill="1" applyBorder="1" applyAlignment="1" applyProtection="1">
      <alignment horizontal="left" vertical="center" wrapText="1" indent="1"/>
      <protection locked="0"/>
    </xf>
    <xf numFmtId="0" fontId="13" fillId="18" borderId="0" xfId="3" applyFont="1" applyFill="1" applyBorder="1" applyAlignment="1" applyProtection="1">
      <alignment horizontal="left" vertical="center" wrapText="1" indent="1"/>
    </xf>
    <xf numFmtId="0" fontId="41" fillId="18" borderId="0" xfId="3" applyFont="1" applyFill="1" applyBorder="1" applyAlignment="1" applyProtection="1">
      <alignment horizontal="left" vertical="center" wrapText="1" indent="1"/>
    </xf>
    <xf numFmtId="0" fontId="13" fillId="18" borderId="37" xfId="3" applyFont="1" applyFill="1" applyBorder="1" applyAlignment="1" applyProtection="1">
      <alignment horizontal="left" vertical="center" wrapText="1" indent="1"/>
    </xf>
    <xf numFmtId="0" fontId="13" fillId="19" borderId="0" xfId="3" applyFont="1" applyFill="1" applyBorder="1" applyAlignment="1" applyProtection="1">
      <alignment horizontal="center" vertical="center" wrapText="1"/>
    </xf>
    <xf numFmtId="0" fontId="13" fillId="19" borderId="37" xfId="3" applyFont="1" applyFill="1" applyBorder="1" applyAlignment="1" applyProtection="1">
      <alignment horizontal="center" vertical="center" wrapText="1"/>
    </xf>
    <xf numFmtId="0" fontId="13" fillId="19" borderId="15" xfId="3" applyFont="1" applyFill="1" applyBorder="1" applyAlignment="1" applyProtection="1">
      <alignment horizontal="center" vertical="center" wrapText="1"/>
    </xf>
    <xf numFmtId="0" fontId="42" fillId="19" borderId="17" xfId="3" applyFont="1" applyFill="1" applyBorder="1" applyAlignment="1" applyProtection="1">
      <alignment horizontal="center" wrapText="1"/>
    </xf>
    <xf numFmtId="0" fontId="29" fillId="19" borderId="15" xfId="3" applyFont="1" applyFill="1" applyBorder="1" applyAlignment="1" applyProtection="1">
      <alignment vertical="center" wrapText="1"/>
    </xf>
    <xf numFmtId="0" fontId="39" fillId="19" borderId="0" xfId="3" applyFont="1" applyFill="1" applyBorder="1" applyAlignment="1" applyProtection="1">
      <alignment wrapText="1"/>
    </xf>
    <xf numFmtId="0" fontId="13" fillId="18" borderId="22" xfId="0" applyFont="1" applyFill="1" applyBorder="1" applyAlignment="1" applyProtection="1">
      <alignment horizontal="center" vertical="center"/>
    </xf>
    <xf numFmtId="164" fontId="24" fillId="18" borderId="21" xfId="0" applyNumberFormat="1" applyFont="1" applyFill="1" applyBorder="1" applyAlignment="1" applyProtection="1">
      <alignment horizontal="center" vertical="center"/>
      <protection locked="0"/>
    </xf>
    <xf numFmtId="164" fontId="24" fillId="18" borderId="21" xfId="0" applyNumberFormat="1" applyFont="1" applyFill="1" applyBorder="1" applyAlignment="1" applyProtection="1">
      <alignment horizontal="center" vertical="center"/>
    </xf>
    <xf numFmtId="0" fontId="22" fillId="18" borderId="22" xfId="0" applyFont="1" applyFill="1" applyBorder="1" applyAlignment="1" applyProtection="1">
      <alignment horizontal="center" vertical="center"/>
    </xf>
    <xf numFmtId="0" fontId="31" fillId="10" borderId="66" xfId="4" applyFont="1" applyFill="1" applyBorder="1" applyAlignment="1" applyProtection="1">
      <alignment vertical="top"/>
    </xf>
    <xf numFmtId="0" fontId="31" fillId="10" borderId="8" xfId="4" applyFont="1" applyFill="1" applyBorder="1" applyAlignment="1" applyProtection="1">
      <alignment horizontal="left" vertical="top"/>
    </xf>
    <xf numFmtId="0" fontId="31" fillId="10" borderId="68" xfId="4" applyFont="1" applyFill="1" applyBorder="1" applyAlignment="1" applyProtection="1">
      <alignment horizontal="left" vertical="top" wrapText="1" indent="1"/>
    </xf>
    <xf numFmtId="0" fontId="31" fillId="10" borderId="80" xfId="4" applyFont="1" applyFill="1" applyBorder="1" applyAlignment="1" applyProtection="1">
      <alignment vertical="top" wrapText="1"/>
    </xf>
    <xf numFmtId="0" fontId="31" fillId="10" borderId="72" xfId="4" applyFont="1" applyFill="1" applyBorder="1" applyAlignment="1" applyProtection="1">
      <alignment vertical="top" wrapText="1"/>
    </xf>
    <xf numFmtId="0" fontId="22" fillId="2" borderId="59" xfId="4" applyFont="1" applyFill="1" applyBorder="1" applyAlignment="1" applyProtection="1">
      <alignment vertical="top"/>
    </xf>
    <xf numFmtId="0" fontId="22" fillId="2" borderId="60" xfId="4" applyFont="1" applyFill="1" applyBorder="1" applyAlignment="1" applyProtection="1">
      <alignment vertical="top"/>
    </xf>
    <xf numFmtId="0" fontId="22" fillId="2" borderId="61" xfId="4" applyFont="1" applyFill="1" applyBorder="1" applyAlignment="1" applyProtection="1">
      <alignment vertical="top"/>
    </xf>
    <xf numFmtId="0" fontId="31" fillId="10" borderId="71" xfId="4" applyFont="1" applyFill="1" applyBorder="1" applyAlignment="1" applyProtection="1">
      <alignment horizontal="left" vertical="top" wrapText="1" indent="1"/>
    </xf>
    <xf numFmtId="0" fontId="31" fillId="10" borderId="71" xfId="4" applyFont="1" applyFill="1" applyBorder="1" applyAlignment="1" applyProtection="1">
      <alignment vertical="top"/>
    </xf>
    <xf numFmtId="0" fontId="31" fillId="10" borderId="10" xfId="4" applyFont="1" applyFill="1" applyBorder="1" applyAlignment="1" applyProtection="1">
      <alignment horizontal="left" vertical="top"/>
    </xf>
    <xf numFmtId="0" fontId="31" fillId="10" borderId="66" xfId="4" applyFont="1" applyFill="1" applyBorder="1" applyAlignment="1" applyProtection="1">
      <alignment horizontal="left" vertical="top" wrapText="1" indent="1"/>
    </xf>
    <xf numFmtId="0" fontId="11" fillId="4" borderId="47" xfId="4" applyFont="1" applyFill="1" applyBorder="1" applyAlignment="1" applyProtection="1">
      <alignment horizontal="right" vertical="top" indent="1"/>
    </xf>
    <xf numFmtId="0" fontId="41" fillId="4" borderId="8" xfId="4" applyFont="1" applyFill="1" applyBorder="1" applyAlignment="1" applyProtection="1">
      <alignment vertical="top"/>
    </xf>
    <xf numFmtId="0" fontId="41" fillId="4" borderId="46" xfId="4" applyFont="1" applyFill="1" applyBorder="1" applyAlignment="1" applyProtection="1">
      <alignment vertical="top"/>
    </xf>
    <xf numFmtId="0" fontId="7" fillId="0" borderId="0" xfId="0" applyFont="1"/>
    <xf numFmtId="0" fontId="49" fillId="0" borderId="0" xfId="0" applyFont="1" applyAlignment="1">
      <alignment horizontal="center"/>
    </xf>
    <xf numFmtId="0" fontId="49" fillId="3" borderId="0" xfId="0" applyFont="1" applyFill="1" applyAlignment="1" applyProtection="1">
      <alignment vertical="top"/>
    </xf>
    <xf numFmtId="0" fontId="7" fillId="0" borderId="0" xfId="0" applyFont="1" applyAlignment="1" applyProtection="1">
      <alignment vertical="top"/>
    </xf>
    <xf numFmtId="0" fontId="49" fillId="3" borderId="0" xfId="0" applyFont="1" applyFill="1" applyAlignment="1" applyProtection="1">
      <alignment vertical="top"/>
      <protection locked="0"/>
    </xf>
    <xf numFmtId="0" fontId="49" fillId="0" borderId="0" xfId="0" applyFont="1" applyAlignment="1" applyProtection="1">
      <alignment vertical="top"/>
    </xf>
    <xf numFmtId="0" fontId="49" fillId="0" borderId="0" xfId="0" applyFont="1" applyFill="1" applyAlignment="1" applyProtection="1">
      <alignment vertical="top"/>
    </xf>
    <xf numFmtId="0" fontId="49" fillId="0" borderId="0" xfId="0" applyFont="1" applyFill="1" applyBorder="1" applyAlignment="1" applyProtection="1">
      <alignment vertical="top"/>
    </xf>
    <xf numFmtId="0" fontId="7" fillId="0" borderId="0" xfId="0" applyFont="1" applyFill="1" applyBorder="1" applyAlignment="1" applyProtection="1">
      <alignment horizontal="left" vertical="top"/>
    </xf>
    <xf numFmtId="0" fontId="7" fillId="0" borderId="0" xfId="0" applyFont="1" applyFill="1"/>
    <xf numFmtId="0" fontId="49" fillId="0" borderId="0" xfId="0" applyFont="1" applyFill="1" applyAlignment="1">
      <alignment horizontal="center"/>
    </xf>
    <xf numFmtId="0" fontId="49" fillId="0" borderId="0" xfId="0" applyFont="1" applyFill="1" applyAlignment="1" applyProtection="1">
      <alignment horizontal="right" vertical="top"/>
    </xf>
    <xf numFmtId="0" fontId="49" fillId="0" borderId="0" xfId="0" applyFont="1" applyFill="1" applyBorder="1" applyAlignment="1" applyProtection="1">
      <alignment horizontal="right" vertical="top"/>
    </xf>
    <xf numFmtId="0" fontId="49" fillId="3" borderId="0" xfId="0" applyFont="1" applyFill="1" applyBorder="1" applyAlignment="1" applyProtection="1">
      <alignment horizontal="center" vertical="top"/>
    </xf>
    <xf numFmtId="0" fontId="7" fillId="3" borderId="0" xfId="0" applyFont="1" applyFill="1" applyBorder="1" applyAlignment="1" applyProtection="1">
      <alignment horizontal="left" vertical="top"/>
    </xf>
    <xf numFmtId="0" fontId="7" fillId="3" borderId="0" xfId="0" applyFont="1" applyFill="1"/>
    <xf numFmtId="0" fontId="49" fillId="3" borderId="0" xfId="0" applyFont="1" applyFill="1" applyAlignment="1">
      <alignment horizontal="center"/>
    </xf>
    <xf numFmtId="0" fontId="41" fillId="17" borderId="1" xfId="0" applyFont="1" applyFill="1" applyBorder="1" applyAlignment="1" applyProtection="1">
      <alignment horizontal="center" vertical="top"/>
      <protection locked="0"/>
    </xf>
    <xf numFmtId="0" fontId="49" fillId="3" borderId="0" xfId="0" applyFont="1" applyFill="1" applyAlignment="1" applyProtection="1">
      <alignment horizontal="right" vertical="top"/>
    </xf>
    <xf numFmtId="0" fontId="49" fillId="3" borderId="0" xfId="0" applyFont="1" applyFill="1" applyBorder="1" applyAlignment="1" applyProtection="1">
      <alignment horizontal="left" vertical="top"/>
    </xf>
    <xf numFmtId="1" fontId="11" fillId="17" borderId="1" xfId="0" applyNumberFormat="1" applyFont="1" applyFill="1" applyBorder="1" applyAlignment="1" applyProtection="1">
      <alignment horizontal="center" vertical="center"/>
    </xf>
    <xf numFmtId="0" fontId="41" fillId="17" borderId="10" xfId="0" applyFont="1" applyFill="1" applyBorder="1" applyAlignment="1" applyProtection="1">
      <alignment horizontal="center" vertical="top"/>
      <protection locked="0"/>
    </xf>
    <xf numFmtId="0" fontId="49" fillId="4" borderId="14" xfId="0" applyFont="1" applyFill="1" applyBorder="1" applyAlignment="1" applyProtection="1">
      <alignment horizontal="center" vertical="top"/>
    </xf>
    <xf numFmtId="0" fontId="49" fillId="4" borderId="0" xfId="0" applyFont="1" applyFill="1" applyBorder="1" applyAlignment="1" applyProtection="1">
      <alignment horizontal="center" vertical="center"/>
    </xf>
    <xf numFmtId="0" fontId="7" fillId="3" borderId="0" xfId="0" applyFont="1" applyFill="1" applyAlignment="1" applyProtection="1">
      <alignment vertical="top"/>
    </xf>
    <xf numFmtId="0" fontId="49" fillId="10" borderId="0" xfId="0" applyFont="1" applyFill="1" applyAlignment="1" applyProtection="1">
      <alignment vertical="top"/>
    </xf>
    <xf numFmtId="0" fontId="49" fillId="0" borderId="0" xfId="0" applyFont="1" applyProtection="1"/>
    <xf numFmtId="0" fontId="11" fillId="17" borderId="10" xfId="0" applyFont="1" applyFill="1" applyBorder="1" applyAlignment="1" applyProtection="1">
      <alignment horizontal="center" vertical="top"/>
      <protection locked="0"/>
    </xf>
    <xf numFmtId="0" fontId="7" fillId="10" borderId="0" xfId="0" applyFont="1" applyFill="1" applyAlignment="1" applyProtection="1">
      <alignment vertical="top"/>
    </xf>
    <xf numFmtId="0" fontId="50" fillId="3" borderId="0" xfId="0" applyFont="1" applyFill="1" applyAlignment="1" applyProtection="1">
      <alignment vertical="top"/>
    </xf>
    <xf numFmtId="0" fontId="49" fillId="3" borderId="0" xfId="0" applyFont="1" applyFill="1" applyAlignment="1" applyProtection="1">
      <alignment horizontal="right" vertical="top" indent="1"/>
    </xf>
    <xf numFmtId="44" fontId="49" fillId="3" borderId="0" xfId="2" applyFont="1" applyFill="1" applyBorder="1" applyAlignment="1" applyProtection="1">
      <alignment horizontal="left" vertical="top"/>
    </xf>
    <xf numFmtId="0" fontId="7" fillId="3" borderId="0" xfId="0" applyFont="1" applyFill="1" applyBorder="1" applyAlignment="1" applyProtection="1">
      <alignment horizontal="left" vertical="top" wrapText="1"/>
    </xf>
    <xf numFmtId="0" fontId="7" fillId="3" borderId="0" xfId="0" applyFont="1" applyFill="1" applyProtection="1"/>
    <xf numFmtId="0" fontId="49" fillId="0" borderId="0" xfId="0" applyFont="1" applyAlignment="1" applyProtection="1">
      <alignment horizontal="right" vertical="top"/>
    </xf>
    <xf numFmtId="43" fontId="41" fillId="17" borderId="1" xfId="1" applyFont="1" applyFill="1" applyBorder="1" applyAlignment="1" applyProtection="1">
      <alignment vertical="top"/>
      <protection locked="0"/>
    </xf>
    <xf numFmtId="0" fontId="7" fillId="3" borderId="0" xfId="0" applyFont="1" applyFill="1" applyAlignment="1" applyProtection="1">
      <alignment horizontal="right" vertical="top"/>
    </xf>
    <xf numFmtId="0" fontId="49" fillId="3" borderId="0" xfId="0" applyFont="1" applyFill="1" applyAlignment="1" applyProtection="1">
      <alignment horizontal="right"/>
    </xf>
    <xf numFmtId="0" fontId="7" fillId="0" borderId="0" xfId="0" applyFont="1" applyAlignment="1" applyProtection="1">
      <alignment vertical="top"/>
      <protection locked="0"/>
    </xf>
    <xf numFmtId="0" fontId="49" fillId="0" borderId="0" xfId="0" applyFont="1" applyAlignment="1" applyProtection="1">
      <alignment vertical="top"/>
      <protection locked="0"/>
    </xf>
    <xf numFmtId="0" fontId="51" fillId="3" borderId="0" xfId="0" applyFont="1" applyFill="1" applyAlignment="1" applyProtection="1">
      <alignment horizontal="right" vertical="top"/>
    </xf>
    <xf numFmtId="0" fontId="52" fillId="3" borderId="0" xfId="0" applyFont="1" applyFill="1" applyAlignment="1" applyProtection="1">
      <alignment horizontal="right" vertical="top"/>
    </xf>
    <xf numFmtId="0" fontId="53" fillId="3" borderId="0" xfId="0" applyFont="1" applyFill="1" applyAlignment="1" applyProtection="1">
      <alignment horizontal="right" vertical="top"/>
    </xf>
    <xf numFmtId="1" fontId="54" fillId="0" borderId="1" xfId="0" applyNumberFormat="1" applyFont="1" applyBorder="1" applyAlignment="1" applyProtection="1">
      <alignment horizontal="center" vertical="center"/>
    </xf>
    <xf numFmtId="0" fontId="49" fillId="0" borderId="1" xfId="0" applyFont="1" applyBorder="1" applyAlignment="1" applyProtection="1">
      <alignment horizontal="center" vertical="top"/>
    </xf>
    <xf numFmtId="0" fontId="7" fillId="0" borderId="0" xfId="0" applyFont="1" applyAlignment="1">
      <alignment vertical="top"/>
    </xf>
    <xf numFmtId="0" fontId="13" fillId="0" borderId="25" xfId="0" applyFont="1" applyBorder="1" applyAlignment="1" applyProtection="1">
      <alignment horizontal="center" vertical="center"/>
      <protection locked="0"/>
    </xf>
    <xf numFmtId="1" fontId="13" fillId="0" borderId="39" xfId="0" applyNumberFormat="1" applyFont="1" applyBorder="1" applyAlignment="1" applyProtection="1">
      <alignment horizontal="center" vertical="center"/>
      <protection locked="0"/>
    </xf>
    <xf numFmtId="1" fontId="13" fillId="0" borderId="23" xfId="0" applyNumberFormat="1" applyFont="1" applyBorder="1" applyAlignment="1" applyProtection="1">
      <alignment horizontal="center" vertical="center"/>
      <protection locked="0"/>
    </xf>
    <xf numFmtId="1" fontId="13" fillId="0" borderId="24" xfId="0" applyNumberFormat="1" applyFont="1" applyBorder="1" applyAlignment="1" applyProtection="1">
      <alignment horizontal="center" vertical="center"/>
      <protection locked="0"/>
    </xf>
    <xf numFmtId="1" fontId="13" fillId="17" borderId="25" xfId="0" applyNumberFormat="1" applyFont="1" applyFill="1" applyBorder="1" applyAlignment="1" applyProtection="1">
      <alignment horizontal="center" vertical="center"/>
    </xf>
    <xf numFmtId="1" fontId="13" fillId="0" borderId="43" xfId="0" applyNumberFormat="1" applyFont="1" applyBorder="1" applyAlignment="1" applyProtection="1">
      <alignment horizontal="center" vertical="center"/>
      <protection locked="0"/>
    </xf>
    <xf numFmtId="1" fontId="13" fillId="0" borderId="26" xfId="0" applyNumberFormat="1" applyFont="1" applyBorder="1" applyAlignment="1" applyProtection="1">
      <alignment horizontal="center" vertical="center"/>
      <protection locked="0"/>
    </xf>
    <xf numFmtId="1" fontId="13" fillId="0" borderId="27" xfId="0" applyNumberFormat="1" applyFont="1" applyBorder="1" applyAlignment="1" applyProtection="1">
      <alignment horizontal="center" vertical="center"/>
      <protection locked="0"/>
    </xf>
    <xf numFmtId="1" fontId="13" fillId="17" borderId="28" xfId="0" applyNumberFormat="1" applyFont="1" applyFill="1" applyBorder="1" applyAlignment="1" applyProtection="1">
      <alignment horizontal="center" vertical="center"/>
    </xf>
    <xf numFmtId="0" fontId="13" fillId="0" borderId="32" xfId="0" applyFont="1" applyBorder="1" applyAlignment="1" applyProtection="1">
      <alignment horizontal="center" vertical="center"/>
      <protection locked="0"/>
    </xf>
    <xf numFmtId="1" fontId="13" fillId="0" borderId="44" xfId="0" applyNumberFormat="1" applyFont="1" applyBorder="1" applyAlignment="1" applyProtection="1">
      <alignment horizontal="center" vertical="center"/>
      <protection locked="0"/>
    </xf>
    <xf numFmtId="1" fontId="13" fillId="0" borderId="30" xfId="0" applyNumberFormat="1" applyFont="1" applyBorder="1" applyAlignment="1" applyProtection="1">
      <alignment horizontal="center" vertical="center"/>
      <protection locked="0"/>
    </xf>
    <xf numFmtId="1" fontId="13" fillId="0" borderId="31" xfId="0" applyNumberFormat="1" applyFont="1" applyBorder="1" applyAlignment="1" applyProtection="1">
      <alignment horizontal="center" vertical="center"/>
      <protection locked="0"/>
    </xf>
    <xf numFmtId="1" fontId="13" fillId="17" borderId="32" xfId="0" applyNumberFormat="1" applyFont="1" applyFill="1" applyBorder="1" applyAlignment="1" applyProtection="1">
      <alignment horizontal="center" vertical="center"/>
    </xf>
    <xf numFmtId="0" fontId="19" fillId="17" borderId="35" xfId="0" applyFont="1" applyFill="1" applyBorder="1" applyAlignment="1" applyProtection="1">
      <alignment horizontal="right" vertical="center"/>
    </xf>
    <xf numFmtId="1" fontId="13" fillId="17" borderId="45" xfId="0" applyNumberFormat="1" applyFont="1" applyFill="1" applyBorder="1" applyAlignment="1" applyProtection="1">
      <alignment horizontal="center" vertical="center"/>
    </xf>
    <xf numFmtId="1" fontId="13" fillId="17" borderId="33" xfId="0" applyNumberFormat="1" applyFont="1" applyFill="1" applyBorder="1" applyAlignment="1" applyProtection="1">
      <alignment horizontal="center" vertical="center"/>
    </xf>
    <xf numFmtId="1" fontId="13" fillId="17" borderId="34" xfId="0" applyNumberFormat="1" applyFont="1" applyFill="1" applyBorder="1" applyAlignment="1" applyProtection="1">
      <alignment horizontal="center" vertical="center"/>
    </xf>
    <xf numFmtId="1" fontId="19" fillId="17" borderId="35" xfId="0" applyNumberFormat="1" applyFont="1" applyFill="1" applyBorder="1" applyAlignment="1" applyProtection="1">
      <alignment horizontal="center" vertical="center"/>
    </xf>
    <xf numFmtId="0" fontId="41" fillId="0" borderId="0" xfId="0" applyFont="1" applyProtection="1"/>
    <xf numFmtId="0" fontId="55" fillId="0" borderId="0" xfId="0" applyFont="1" applyProtection="1"/>
    <xf numFmtId="10" fontId="41" fillId="3" borderId="26" xfId="3" applyNumberFormat="1" applyFont="1" applyFill="1" applyBorder="1" applyAlignment="1" applyProtection="1">
      <alignment horizontal="left" vertical="center" wrapText="1" indent="1"/>
      <protection locked="0"/>
    </xf>
    <xf numFmtId="14" fontId="41" fillId="3" borderId="26" xfId="3" applyNumberFormat="1" applyFont="1" applyFill="1" applyBorder="1" applyAlignment="1" applyProtection="1">
      <alignment horizontal="left" vertical="center" wrapText="1" indent="1"/>
      <protection locked="0"/>
    </xf>
    <xf numFmtId="0" fontId="49" fillId="3" borderId="0" xfId="0" applyFont="1" applyFill="1" applyAlignment="1" applyProtection="1">
      <alignment horizontal="right" vertical="top"/>
    </xf>
    <xf numFmtId="0" fontId="49" fillId="3" borderId="15" xfId="0" applyFont="1" applyFill="1" applyBorder="1" applyAlignment="1" applyProtection="1">
      <alignment horizontal="right" vertical="top"/>
    </xf>
    <xf numFmtId="14" fontId="41" fillId="17" borderId="2" xfId="0" applyNumberFormat="1" applyFont="1" applyFill="1" applyBorder="1" applyAlignment="1" applyProtection="1">
      <alignment horizontal="left" vertical="top"/>
      <protection locked="0"/>
    </xf>
    <xf numFmtId="14" fontId="41" fillId="17" borderId="3" xfId="0" applyNumberFormat="1" applyFont="1" applyFill="1" applyBorder="1" applyAlignment="1" applyProtection="1">
      <alignment horizontal="left" vertical="top"/>
      <protection locked="0"/>
    </xf>
    <xf numFmtId="0" fontId="49" fillId="3" borderId="0" xfId="0" applyFont="1" applyFill="1" applyBorder="1" applyAlignment="1" applyProtection="1">
      <alignment horizontal="right" vertical="top"/>
    </xf>
    <xf numFmtId="0" fontId="49" fillId="3" borderId="0" xfId="0" applyFont="1" applyFill="1" applyAlignment="1" applyProtection="1">
      <alignment vertical="top"/>
    </xf>
    <xf numFmtId="0" fontId="49" fillId="3" borderId="15" xfId="0" applyFont="1" applyFill="1" applyBorder="1" applyAlignment="1" applyProtection="1">
      <alignment vertical="top"/>
    </xf>
    <xf numFmtId="0" fontId="49" fillId="3" borderId="0" xfId="0" applyFont="1" applyFill="1" applyAlignment="1" applyProtection="1">
      <alignment horizontal="right" vertical="center" wrapText="1"/>
    </xf>
    <xf numFmtId="0" fontId="41" fillId="17" borderId="1" xfId="0" applyFont="1" applyFill="1" applyBorder="1" applyAlignment="1" applyProtection="1">
      <alignment horizontal="left" vertical="top" wrapText="1"/>
      <protection locked="0"/>
    </xf>
    <xf numFmtId="0" fontId="41" fillId="17" borderId="4" xfId="0" applyFont="1" applyFill="1" applyBorder="1" applyAlignment="1" applyProtection="1">
      <alignment horizontal="left" vertical="top" wrapText="1"/>
      <protection locked="0"/>
    </xf>
    <xf numFmtId="0" fontId="41" fillId="17" borderId="14" xfId="0" applyFont="1" applyFill="1" applyBorder="1" applyAlignment="1" applyProtection="1">
      <alignment horizontal="left" vertical="top" wrapText="1"/>
      <protection locked="0"/>
    </xf>
    <xf numFmtId="0" fontId="41" fillId="17" borderId="5" xfId="0" applyFont="1" applyFill="1" applyBorder="1" applyAlignment="1" applyProtection="1">
      <alignment horizontal="left" vertical="top" wrapText="1"/>
      <protection locked="0"/>
    </xf>
    <xf numFmtId="0" fontId="41" fillId="17" borderId="62" xfId="0" applyFont="1" applyFill="1" applyBorder="1" applyAlignment="1" applyProtection="1">
      <alignment horizontal="left" vertical="top" wrapText="1"/>
      <protection locked="0"/>
    </xf>
    <xf numFmtId="0" fontId="41" fillId="17" borderId="0" xfId="0" applyFont="1" applyFill="1" applyBorder="1" applyAlignment="1" applyProtection="1">
      <alignment horizontal="left" vertical="top" wrapText="1"/>
      <protection locked="0"/>
    </xf>
    <xf numFmtId="0" fontId="41" fillId="17" borderId="15" xfId="0" applyFont="1" applyFill="1" applyBorder="1" applyAlignment="1" applyProtection="1">
      <alignment horizontal="left" vertical="top" wrapText="1"/>
      <protection locked="0"/>
    </xf>
    <xf numFmtId="0" fontId="41" fillId="17" borderId="41" xfId="0" applyFont="1" applyFill="1" applyBorder="1" applyAlignment="1" applyProtection="1">
      <alignment horizontal="left" vertical="top" wrapText="1"/>
      <protection locked="0"/>
    </xf>
    <xf numFmtId="0" fontId="41" fillId="17" borderId="13" xfId="0" applyFont="1" applyFill="1" applyBorder="1" applyAlignment="1" applyProtection="1">
      <alignment horizontal="left" vertical="top" wrapText="1"/>
      <protection locked="0"/>
    </xf>
    <xf numFmtId="0" fontId="41" fillId="17" borderId="42" xfId="0" applyFont="1" applyFill="1" applyBorder="1" applyAlignment="1" applyProtection="1">
      <alignment horizontal="left" vertical="top" wrapText="1"/>
      <protection locked="0"/>
    </xf>
    <xf numFmtId="14" fontId="41" fillId="17" borderId="1" xfId="0" applyNumberFormat="1" applyFont="1" applyFill="1" applyBorder="1" applyAlignment="1" applyProtection="1">
      <alignment horizontal="left" vertical="top"/>
      <protection locked="0"/>
    </xf>
    <xf numFmtId="0" fontId="41" fillId="17" borderId="2" xfId="0" applyFont="1" applyFill="1" applyBorder="1" applyAlignment="1" applyProtection="1">
      <alignment horizontal="center" vertical="top"/>
    </xf>
    <xf numFmtId="0" fontId="41" fillId="17" borderId="6" xfId="0" applyFont="1" applyFill="1" applyBorder="1" applyAlignment="1" applyProtection="1">
      <alignment horizontal="center" vertical="top"/>
    </xf>
    <xf numFmtId="0" fontId="41" fillId="17" borderId="3" xfId="0" applyFont="1" applyFill="1" applyBorder="1" applyAlignment="1" applyProtection="1">
      <alignment horizontal="center" vertical="top"/>
    </xf>
    <xf numFmtId="0" fontId="49" fillId="3" borderId="0" xfId="0" applyFont="1" applyFill="1" applyAlignment="1" applyProtection="1">
      <alignment horizontal="center" vertical="top" wrapText="1"/>
    </xf>
    <xf numFmtId="0" fontId="49" fillId="3" borderId="13" xfId="0" applyFont="1" applyFill="1" applyBorder="1" applyAlignment="1" applyProtection="1">
      <alignment horizontal="center" vertical="top" wrapText="1"/>
    </xf>
    <xf numFmtId="0" fontId="49" fillId="3" borderId="0" xfId="0" applyFont="1" applyFill="1" applyAlignment="1" applyProtection="1">
      <alignment horizontal="center" vertical="top"/>
    </xf>
    <xf numFmtId="0" fontId="49" fillId="3" borderId="13" xfId="0" applyFont="1" applyFill="1" applyBorder="1" applyAlignment="1" applyProtection="1">
      <alignment horizontal="center" vertical="top"/>
    </xf>
    <xf numFmtId="44" fontId="11" fillId="17" borderId="1" xfId="2" applyFont="1" applyFill="1" applyBorder="1" applyAlignment="1" applyProtection="1">
      <alignment horizontal="center" vertical="top"/>
    </xf>
    <xf numFmtId="44" fontId="41" fillId="17" borderId="1" xfId="2" applyFont="1" applyFill="1" applyBorder="1" applyAlignment="1" applyProtection="1">
      <alignment horizontal="left" vertical="top"/>
      <protection locked="0"/>
    </xf>
    <xf numFmtId="44" fontId="11" fillId="17" borderId="8" xfId="2" applyFont="1" applyFill="1" applyBorder="1" applyAlignment="1" applyProtection="1">
      <alignment horizontal="center" vertical="top"/>
    </xf>
    <xf numFmtId="0" fontId="49" fillId="0" borderId="13" xfId="0" applyFont="1" applyBorder="1" applyAlignment="1" applyProtection="1">
      <alignment horizontal="center" vertical="top"/>
    </xf>
    <xf numFmtId="44" fontId="41" fillId="17" borderId="1" xfId="2" applyFont="1" applyFill="1" applyBorder="1" applyAlignment="1" applyProtection="1">
      <alignment horizontal="center" vertical="top"/>
      <protection locked="0"/>
    </xf>
    <xf numFmtId="44" fontId="11" fillId="17" borderId="7" xfId="2" applyFont="1" applyFill="1" applyBorder="1" applyAlignment="1" applyProtection="1">
      <alignment horizontal="center" vertical="top"/>
    </xf>
    <xf numFmtId="44" fontId="41" fillId="17" borderId="9" xfId="2" applyFont="1" applyFill="1" applyBorder="1" applyAlignment="1" applyProtection="1">
      <alignment horizontal="center" vertical="top"/>
      <protection locked="0"/>
    </xf>
    <xf numFmtId="44" fontId="41" fillId="17" borderId="7" xfId="2" applyFont="1" applyFill="1" applyBorder="1" applyAlignment="1" applyProtection="1">
      <alignment horizontal="center" vertical="top"/>
      <protection locked="0"/>
    </xf>
    <xf numFmtId="0" fontId="49" fillId="3" borderId="62" xfId="0" applyFont="1" applyFill="1" applyBorder="1" applyAlignment="1" applyProtection="1">
      <alignment horizontal="right" vertical="top"/>
    </xf>
    <xf numFmtId="0" fontId="34" fillId="10" borderId="0" xfId="0" applyFont="1" applyFill="1" applyBorder="1" applyAlignment="1" applyProtection="1">
      <alignment vertical="top"/>
    </xf>
    <xf numFmtId="0" fontId="41" fillId="17" borderId="2" xfId="0" applyFont="1" applyFill="1" applyBorder="1" applyAlignment="1" applyProtection="1">
      <alignment horizontal="left" vertical="top"/>
      <protection locked="0"/>
    </xf>
    <xf numFmtId="0" fontId="41" fillId="17" borderId="3" xfId="0" applyFont="1" applyFill="1" applyBorder="1" applyAlignment="1" applyProtection="1">
      <alignment horizontal="left" vertical="top"/>
      <protection locked="0"/>
    </xf>
    <xf numFmtId="0" fontId="41" fillId="17" borderId="6" xfId="0" applyFont="1" applyFill="1" applyBorder="1" applyAlignment="1" applyProtection="1">
      <alignment horizontal="left" vertical="top"/>
      <protection locked="0"/>
    </xf>
    <xf numFmtId="14" fontId="41" fillId="17" borderId="10" xfId="0" applyNumberFormat="1" applyFont="1" applyFill="1" applyBorder="1" applyAlignment="1" applyProtection="1">
      <alignment horizontal="left" vertical="top"/>
      <protection locked="0"/>
    </xf>
    <xf numFmtId="0" fontId="41" fillId="17" borderId="1" xfId="0" applyFont="1" applyFill="1" applyBorder="1" applyAlignment="1" applyProtection="1">
      <alignment horizontal="left" vertical="top"/>
      <protection locked="0"/>
    </xf>
    <xf numFmtId="0" fontId="41" fillId="17" borderId="1" xfId="0" applyFont="1" applyFill="1" applyBorder="1" applyAlignment="1" applyProtection="1">
      <alignment horizontal="center" vertical="top"/>
      <protection locked="0"/>
    </xf>
    <xf numFmtId="0" fontId="49" fillId="3" borderId="13" xfId="0" applyFont="1" applyFill="1" applyBorder="1" applyAlignment="1" applyProtection="1">
      <alignment vertical="top"/>
    </xf>
    <xf numFmtId="0" fontId="49" fillId="0" borderId="1" xfId="0" applyFont="1" applyBorder="1" applyAlignment="1" applyProtection="1">
      <alignment horizontal="center"/>
    </xf>
    <xf numFmtId="0" fontId="49" fillId="0" borderId="2" xfId="0" applyFont="1" applyBorder="1" applyAlignment="1" applyProtection="1"/>
    <xf numFmtId="0" fontId="49" fillId="0" borderId="6" xfId="0" applyFont="1" applyBorder="1" applyAlignment="1" applyProtection="1"/>
    <xf numFmtId="0" fontId="49" fillId="0" borderId="3" xfId="0" applyFont="1" applyBorder="1" applyAlignment="1" applyProtection="1"/>
    <xf numFmtId="0" fontId="49" fillId="3" borderId="0" xfId="0" applyFont="1" applyFill="1" applyBorder="1" applyAlignment="1" applyProtection="1">
      <alignment vertical="top"/>
    </xf>
    <xf numFmtId="0" fontId="11" fillId="17" borderId="1" xfId="0" applyFont="1" applyFill="1" applyBorder="1" applyAlignment="1" applyProtection="1">
      <alignment horizontal="center" vertical="top"/>
      <protection locked="0"/>
    </xf>
    <xf numFmtId="14" fontId="11" fillId="17" borderId="1" xfId="0" applyNumberFormat="1" applyFont="1" applyFill="1" applyBorder="1" applyAlignment="1" applyProtection="1">
      <alignment horizontal="left" vertical="top"/>
      <protection locked="0"/>
    </xf>
    <xf numFmtId="44" fontId="11" fillId="17" borderId="9" xfId="2" applyFont="1" applyFill="1" applyBorder="1" applyAlignment="1" applyProtection="1">
      <alignment horizontal="center" vertical="top"/>
    </xf>
    <xf numFmtId="0" fontId="49" fillId="3" borderId="0" xfId="0" applyFont="1" applyFill="1" applyBorder="1" applyAlignment="1" applyProtection="1">
      <alignment horizontal="right" vertical="top" wrapText="1"/>
    </xf>
    <xf numFmtId="0" fontId="7" fillId="0" borderId="1" xfId="0" applyFont="1" applyBorder="1" applyAlignment="1">
      <alignment horizontal="center"/>
    </xf>
    <xf numFmtId="0" fontId="41" fillId="17" borderId="4" xfId="0" applyFont="1" applyFill="1" applyBorder="1" applyAlignment="1" applyProtection="1">
      <alignment wrapText="1"/>
      <protection locked="0"/>
    </xf>
    <xf numFmtId="0" fontId="41" fillId="17" borderId="14" xfId="0" applyFont="1" applyFill="1" applyBorder="1" applyAlignment="1" applyProtection="1">
      <alignment wrapText="1"/>
      <protection locked="0"/>
    </xf>
    <xf numFmtId="0" fontId="41" fillId="17" borderId="5" xfId="0" applyFont="1" applyFill="1" applyBorder="1" applyAlignment="1" applyProtection="1">
      <alignment wrapText="1"/>
      <protection locked="0"/>
    </xf>
    <xf numFmtId="0" fontId="41" fillId="17" borderId="41" xfId="0" applyFont="1" applyFill="1" applyBorder="1" applyAlignment="1" applyProtection="1">
      <alignment wrapText="1"/>
      <protection locked="0"/>
    </xf>
    <xf numFmtId="0" fontId="41" fillId="17" borderId="13" xfId="0" applyFont="1" applyFill="1" applyBorder="1" applyAlignment="1" applyProtection="1">
      <alignment wrapText="1"/>
      <protection locked="0"/>
    </xf>
    <xf numFmtId="0" fontId="41" fillId="17" borderId="42" xfId="0" applyFont="1" applyFill="1" applyBorder="1" applyAlignment="1" applyProtection="1">
      <alignment wrapText="1"/>
      <protection locked="0"/>
    </xf>
    <xf numFmtId="0" fontId="41" fillId="17" borderId="4" xfId="0" applyFont="1" applyFill="1" applyBorder="1" applyAlignment="1" applyProtection="1">
      <alignment horizontal="center" vertical="center"/>
      <protection locked="0"/>
    </xf>
    <xf numFmtId="0" fontId="41" fillId="17" borderId="5" xfId="0" applyFont="1" applyFill="1" applyBorder="1" applyAlignment="1" applyProtection="1">
      <alignment horizontal="center" vertical="center"/>
      <protection locked="0"/>
    </xf>
    <xf numFmtId="0" fontId="41" fillId="17" borderId="41" xfId="0" applyFont="1" applyFill="1" applyBorder="1" applyAlignment="1" applyProtection="1">
      <alignment horizontal="center" vertical="center"/>
      <protection locked="0"/>
    </xf>
    <xf numFmtId="0" fontId="41" fillId="17" borderId="42" xfId="0" applyFont="1" applyFill="1" applyBorder="1" applyAlignment="1" applyProtection="1">
      <alignment horizontal="center" vertical="center"/>
      <protection locked="0"/>
    </xf>
    <xf numFmtId="0" fontId="11" fillId="17" borderId="4" xfId="0" applyFont="1" applyFill="1" applyBorder="1" applyAlignment="1" applyProtection="1">
      <alignment horizontal="center" vertical="center"/>
    </xf>
    <xf numFmtId="0" fontId="11" fillId="17" borderId="5" xfId="0" applyFont="1" applyFill="1" applyBorder="1" applyAlignment="1" applyProtection="1">
      <alignment horizontal="center" vertical="center"/>
    </xf>
    <xf numFmtId="0" fontId="11" fillId="17" borderId="41" xfId="0" applyFont="1" applyFill="1" applyBorder="1" applyAlignment="1" applyProtection="1">
      <alignment horizontal="center" vertical="center"/>
    </xf>
    <xf numFmtId="0" fontId="11" fillId="17" borderId="42" xfId="0" applyFont="1" applyFill="1" applyBorder="1" applyAlignment="1" applyProtection="1">
      <alignment horizontal="center" vertical="center"/>
    </xf>
    <xf numFmtId="0" fontId="22" fillId="4" borderId="71" xfId="4" applyFont="1" applyFill="1" applyBorder="1" applyAlignment="1">
      <alignment horizontal="left" vertical="top" wrapText="1" indent="1"/>
    </xf>
    <xf numFmtId="0" fontId="22" fillId="4" borderId="72" xfId="4" applyFont="1" applyFill="1" applyBorder="1" applyAlignment="1">
      <alignment horizontal="left" vertical="top" wrapText="1" indent="1"/>
    </xf>
    <xf numFmtId="0" fontId="22" fillId="4" borderId="76" xfId="4" applyFont="1" applyFill="1" applyBorder="1" applyAlignment="1">
      <alignment horizontal="left" vertical="top" wrapText="1" indent="1"/>
    </xf>
    <xf numFmtId="0" fontId="22" fillId="4" borderId="19" xfId="4" applyFont="1" applyFill="1" applyBorder="1" applyAlignment="1">
      <alignment horizontal="left" vertical="top" wrapText="1" indent="1"/>
    </xf>
    <xf numFmtId="0" fontId="22" fillId="3" borderId="1" xfId="4" applyFont="1" applyFill="1" applyBorder="1" applyAlignment="1">
      <alignment horizontal="left" vertical="top"/>
    </xf>
    <xf numFmtId="0" fontId="22" fillId="3" borderId="70" xfId="4" applyFont="1" applyFill="1" applyBorder="1" applyAlignment="1">
      <alignment horizontal="left" vertical="top"/>
    </xf>
    <xf numFmtId="0" fontId="29" fillId="15" borderId="16" xfId="4" applyFont="1" applyFill="1" applyBorder="1" applyAlignment="1">
      <alignment horizontal="center" vertical="top"/>
    </xf>
    <xf numFmtId="0" fontId="29" fillId="15" borderId="17" xfId="4" applyFont="1" applyFill="1" applyBorder="1" applyAlignment="1">
      <alignment horizontal="center" vertical="top"/>
    </xf>
    <xf numFmtId="0" fontId="13" fillId="2" borderId="14" xfId="4" applyFont="1" applyFill="1" applyBorder="1" applyAlignment="1">
      <alignment horizontal="center" wrapText="1"/>
    </xf>
    <xf numFmtId="0" fontId="13" fillId="2" borderId="75" xfId="4" applyFont="1" applyFill="1" applyBorder="1" applyAlignment="1">
      <alignment horizontal="center" wrapText="1"/>
    </xf>
    <xf numFmtId="0" fontId="13" fillId="2" borderId="13" xfId="4" applyFont="1" applyFill="1" applyBorder="1" applyAlignment="1">
      <alignment horizontal="center" wrapText="1"/>
    </xf>
    <xf numFmtId="0" fontId="13" fillId="2" borderId="74" xfId="4" applyFont="1" applyFill="1" applyBorder="1" applyAlignment="1">
      <alignment horizontal="center" wrapText="1"/>
    </xf>
    <xf numFmtId="0" fontId="22" fillId="4" borderId="72" xfId="4" applyFont="1" applyFill="1" applyBorder="1" applyAlignment="1">
      <alignment horizontal="left" vertical="top" indent="1"/>
    </xf>
    <xf numFmtId="0" fontId="13" fillId="0" borderId="2" xfId="4" applyFont="1" applyBorder="1" applyAlignment="1">
      <alignment horizontal="left" vertical="top"/>
    </xf>
    <xf numFmtId="0" fontId="13" fillId="0" borderId="69" xfId="4" applyFont="1" applyBorder="1" applyAlignment="1">
      <alignment horizontal="left" vertical="top"/>
    </xf>
    <xf numFmtId="0" fontId="13" fillId="0" borderId="4" xfId="4" applyFont="1" applyBorder="1" applyAlignment="1">
      <alignment horizontal="left" vertical="top"/>
    </xf>
    <xf numFmtId="0" fontId="13" fillId="0" borderId="14" xfId="4" applyFont="1" applyBorder="1" applyAlignment="1">
      <alignment horizontal="left" vertical="top"/>
    </xf>
    <xf numFmtId="0" fontId="13" fillId="0" borderId="75" xfId="4" applyFont="1" applyBorder="1" applyAlignment="1">
      <alignment horizontal="left" vertical="top"/>
    </xf>
    <xf numFmtId="0" fontId="13" fillId="0" borderId="41" xfId="4" applyFont="1" applyBorder="1" applyAlignment="1">
      <alignment horizontal="left" vertical="top"/>
    </xf>
    <xf numFmtId="0" fontId="13" fillId="0" borderId="13" xfId="4" applyFont="1" applyBorder="1" applyAlignment="1">
      <alignment horizontal="left" vertical="top"/>
    </xf>
    <xf numFmtId="0" fontId="13" fillId="0" borderId="74" xfId="4" applyFont="1" applyBorder="1" applyAlignment="1">
      <alignment horizontal="left" vertical="top"/>
    </xf>
    <xf numFmtId="0" fontId="19" fillId="4" borderId="1" xfId="4" applyFont="1" applyFill="1" applyBorder="1" applyAlignment="1">
      <alignment horizontal="center" vertical="top" wrapText="1"/>
    </xf>
    <xf numFmtId="0" fontId="19" fillId="4" borderId="70" xfId="4" applyFont="1" applyFill="1" applyBorder="1" applyAlignment="1">
      <alignment horizontal="center" vertical="top" wrapText="1"/>
    </xf>
    <xf numFmtId="0" fontId="19" fillId="3" borderId="1" xfId="4" applyFont="1" applyFill="1" applyBorder="1" applyAlignment="1">
      <alignment horizontal="center" vertical="top" wrapText="1"/>
    </xf>
    <xf numFmtId="0" fontId="19" fillId="3" borderId="70" xfId="4" applyFont="1" applyFill="1" applyBorder="1" applyAlignment="1">
      <alignment horizontal="center" vertical="top" wrapText="1"/>
    </xf>
    <xf numFmtId="0" fontId="19" fillId="3" borderId="7" xfId="4" applyFont="1" applyFill="1" applyBorder="1" applyAlignment="1">
      <alignment horizontal="center" vertical="top" wrapText="1"/>
    </xf>
    <xf numFmtId="0" fontId="19" fillId="3" borderId="79" xfId="4" applyFont="1" applyFill="1" applyBorder="1" applyAlignment="1">
      <alignment horizontal="center" vertical="top" wrapText="1"/>
    </xf>
    <xf numFmtId="0" fontId="22" fillId="3" borderId="1" xfId="4" applyFont="1" applyFill="1" applyBorder="1" applyAlignment="1">
      <alignment horizontal="left" vertical="top" wrapText="1"/>
    </xf>
    <xf numFmtId="0" fontId="19" fillId="0" borderId="2" xfId="4" applyFont="1" applyFill="1" applyBorder="1" applyAlignment="1">
      <alignment horizontal="left" vertical="top"/>
    </xf>
    <xf numFmtId="0" fontId="19" fillId="0" borderId="69" xfId="4" applyFont="1" applyFill="1" applyBorder="1" applyAlignment="1">
      <alignment horizontal="left" vertical="top"/>
    </xf>
    <xf numFmtId="0" fontId="22" fillId="2" borderId="19" xfId="4" applyFont="1" applyFill="1" applyBorder="1" applyAlignment="1">
      <alignment horizontal="center" vertical="top"/>
    </xf>
    <xf numFmtId="0" fontId="22" fillId="2" borderId="0" xfId="4" applyFont="1" applyFill="1" applyBorder="1" applyAlignment="1">
      <alignment horizontal="center" vertical="top"/>
    </xf>
    <xf numFmtId="0" fontId="22" fillId="2" borderId="20" xfId="4" applyFont="1" applyFill="1" applyBorder="1" applyAlignment="1">
      <alignment horizontal="center" vertical="top"/>
    </xf>
    <xf numFmtId="0" fontId="19" fillId="0" borderId="6" xfId="4" applyFont="1" applyBorder="1" applyAlignment="1">
      <alignment horizontal="left" vertical="top"/>
    </xf>
    <xf numFmtId="0" fontId="19" fillId="0" borderId="69" xfId="4" applyFont="1" applyBorder="1" applyAlignment="1">
      <alignment horizontal="left" vertical="top"/>
    </xf>
    <xf numFmtId="0" fontId="22" fillId="3" borderId="2" xfId="4" applyFont="1" applyFill="1" applyBorder="1" applyAlignment="1">
      <alignment horizontal="left" vertical="top" wrapText="1"/>
    </xf>
    <xf numFmtId="0" fontId="22" fillId="3" borderId="3" xfId="4" applyFont="1" applyFill="1" applyBorder="1" applyAlignment="1">
      <alignment horizontal="left" vertical="top" wrapText="1"/>
    </xf>
    <xf numFmtId="0" fontId="22" fillId="4" borderId="4" xfId="4" applyFont="1" applyFill="1" applyBorder="1" applyAlignment="1">
      <alignment horizontal="left" vertical="top"/>
    </xf>
    <xf numFmtId="0" fontId="22" fillId="4" borderId="14" xfId="4" applyFont="1" applyFill="1" applyBorder="1" applyAlignment="1">
      <alignment horizontal="left" vertical="top"/>
    </xf>
    <xf numFmtId="0" fontId="22" fillId="4" borderId="5" xfId="4" applyFont="1" applyFill="1" applyBorder="1" applyAlignment="1">
      <alignment horizontal="left" vertical="top"/>
    </xf>
    <xf numFmtId="0" fontId="22" fillId="4" borderId="2" xfId="4" applyFont="1" applyFill="1" applyBorder="1" applyAlignment="1">
      <alignment horizontal="left" vertical="top" wrapText="1"/>
    </xf>
    <xf numFmtId="0" fontId="22" fillId="4" borderId="69" xfId="4" applyFont="1" applyFill="1" applyBorder="1" applyAlignment="1">
      <alignment horizontal="left" vertical="top" wrapText="1"/>
    </xf>
    <xf numFmtId="0" fontId="19" fillId="0" borderId="2" xfId="4" applyFont="1" applyFill="1" applyBorder="1" applyAlignment="1">
      <alignment horizontal="left" vertical="top" wrapText="1"/>
    </xf>
    <xf numFmtId="0" fontId="19" fillId="0" borderId="69" xfId="4" applyFont="1" applyFill="1" applyBorder="1" applyAlignment="1">
      <alignment horizontal="left" vertical="top" wrapText="1"/>
    </xf>
    <xf numFmtId="0" fontId="19" fillId="3" borderId="63" xfId="4" applyFont="1" applyFill="1" applyBorder="1" applyAlignment="1">
      <alignment horizontal="left" vertical="top"/>
    </xf>
    <xf numFmtId="0" fontId="19" fillId="3" borderId="67" xfId="4" applyFont="1" applyFill="1" applyBorder="1" applyAlignment="1">
      <alignment horizontal="left" vertical="top"/>
    </xf>
    <xf numFmtId="0" fontId="22" fillId="3" borderId="6" xfId="4" applyFont="1" applyFill="1" applyBorder="1" applyAlignment="1">
      <alignment horizontal="left" vertical="top" wrapText="1"/>
    </xf>
    <xf numFmtId="0" fontId="22" fillId="3" borderId="69" xfId="4" applyFont="1" applyFill="1" applyBorder="1" applyAlignment="1">
      <alignment horizontal="left" vertical="top" wrapText="1"/>
    </xf>
    <xf numFmtId="0" fontId="27" fillId="2" borderId="19" xfId="4" applyFont="1" applyFill="1" applyBorder="1" applyAlignment="1">
      <alignment horizontal="center" vertical="top" wrapText="1"/>
    </xf>
    <xf numFmtId="0" fontId="27" fillId="2" borderId="0" xfId="4" applyFont="1" applyFill="1" applyBorder="1" applyAlignment="1">
      <alignment horizontal="center" vertical="top" wrapText="1"/>
    </xf>
    <xf numFmtId="0" fontId="19" fillId="4" borderId="68" xfId="4" applyFont="1" applyFill="1" applyBorder="1" applyAlignment="1">
      <alignment horizontal="left" vertical="top" wrapText="1"/>
    </xf>
    <xf numFmtId="0" fontId="19" fillId="4" borderId="1" xfId="4" applyFont="1" applyFill="1" applyBorder="1" applyAlignment="1">
      <alignment horizontal="left" vertical="top" wrapText="1"/>
    </xf>
    <xf numFmtId="0" fontId="24" fillId="3" borderId="68" xfId="4" applyFont="1" applyFill="1" applyBorder="1" applyAlignment="1">
      <alignment horizontal="left" vertical="top" wrapText="1"/>
    </xf>
    <xf numFmtId="0" fontId="24" fillId="3" borderId="1" xfId="4" applyFont="1" applyFill="1" applyBorder="1" applyAlignment="1">
      <alignment horizontal="left" vertical="top" wrapText="1"/>
    </xf>
    <xf numFmtId="0" fontId="24" fillId="3" borderId="78" xfId="4" applyFont="1" applyFill="1" applyBorder="1" applyAlignment="1">
      <alignment horizontal="left" vertical="top" wrapText="1"/>
    </xf>
    <xf numFmtId="0" fontId="24" fillId="3" borderId="7" xfId="4" applyFont="1" applyFill="1" applyBorder="1" applyAlignment="1">
      <alignment horizontal="left" vertical="top" wrapText="1"/>
    </xf>
    <xf numFmtId="0" fontId="19" fillId="10" borderId="68" xfId="4" applyFont="1" applyFill="1" applyBorder="1" applyAlignment="1">
      <alignment horizontal="left" vertical="top" wrapText="1"/>
    </xf>
    <xf numFmtId="0" fontId="19" fillId="10" borderId="1" xfId="4" applyFont="1" applyFill="1" applyBorder="1" applyAlignment="1">
      <alignment horizontal="left" vertical="top" wrapText="1"/>
    </xf>
    <xf numFmtId="0" fontId="24" fillId="3" borderId="70" xfId="4" applyFont="1" applyFill="1" applyBorder="1" applyAlignment="1">
      <alignment horizontal="left" vertical="top" wrapText="1"/>
    </xf>
    <xf numFmtId="0" fontId="28" fillId="2" borderId="19" xfId="4" applyFont="1" applyFill="1" applyBorder="1" applyAlignment="1">
      <alignment horizontal="center" vertical="top"/>
    </xf>
    <xf numFmtId="0" fontId="28" fillId="2" borderId="0" xfId="4" applyFont="1" applyFill="1" applyBorder="1" applyAlignment="1">
      <alignment horizontal="center" vertical="top"/>
    </xf>
    <xf numFmtId="0" fontId="24" fillId="3" borderId="1" xfId="4" applyFont="1" applyFill="1" applyBorder="1" applyAlignment="1">
      <alignment horizontal="left" vertical="top"/>
    </xf>
    <xf numFmtId="0" fontId="24" fillId="3" borderId="70" xfId="4" applyFont="1" applyFill="1" applyBorder="1" applyAlignment="1">
      <alignment horizontal="left" vertical="top"/>
    </xf>
    <xf numFmtId="0" fontId="13" fillId="4" borderId="4" xfId="4" applyFont="1" applyFill="1" applyBorder="1" applyAlignment="1">
      <alignment vertical="top"/>
    </xf>
    <xf numFmtId="0" fontId="13" fillId="4" borderId="14" xfId="4" applyFont="1" applyFill="1" applyBorder="1" applyAlignment="1">
      <alignment vertical="top"/>
    </xf>
    <xf numFmtId="0" fontId="13" fillId="4" borderId="75" xfId="4" applyFont="1" applyFill="1" applyBorder="1" applyAlignment="1">
      <alignment vertical="top"/>
    </xf>
    <xf numFmtId="0" fontId="13" fillId="4" borderId="41" xfId="4" applyFont="1" applyFill="1" applyBorder="1" applyAlignment="1">
      <alignment vertical="top"/>
    </xf>
    <xf numFmtId="0" fontId="13" fillId="4" borderId="13" xfId="4" applyFont="1" applyFill="1" applyBorder="1" applyAlignment="1">
      <alignment vertical="top"/>
    </xf>
    <xf numFmtId="0" fontId="13" fillId="4" borderId="74" xfId="4" applyFont="1" applyFill="1" applyBorder="1" applyAlignment="1">
      <alignment vertical="top"/>
    </xf>
    <xf numFmtId="0" fontId="13" fillId="0" borderId="77" xfId="4" applyFont="1" applyBorder="1" applyAlignment="1">
      <alignment horizontal="left" vertical="top"/>
    </xf>
    <xf numFmtId="0" fontId="13" fillId="0" borderId="37" xfId="4" applyFont="1" applyBorder="1" applyAlignment="1">
      <alignment horizontal="left" vertical="top"/>
    </xf>
    <xf numFmtId="0" fontId="13" fillId="0" borderId="38" xfId="4" applyFont="1" applyBorder="1" applyAlignment="1">
      <alignment horizontal="left" vertical="top"/>
    </xf>
    <xf numFmtId="0" fontId="13" fillId="4" borderId="72" xfId="4" applyFont="1" applyFill="1" applyBorder="1" applyAlignment="1">
      <alignment horizontal="left" vertical="top" indent="1"/>
    </xf>
    <xf numFmtId="0" fontId="13" fillId="4" borderId="66" xfId="4" applyFont="1" applyFill="1" applyBorder="1" applyAlignment="1">
      <alignment horizontal="left" vertical="top" indent="1"/>
    </xf>
    <xf numFmtId="0" fontId="29" fillId="15" borderId="59" xfId="4" applyFont="1" applyFill="1" applyBorder="1" applyAlignment="1">
      <alignment horizontal="center" vertical="top"/>
    </xf>
    <xf numFmtId="0" fontId="29" fillId="15" borderId="60" xfId="4" applyFont="1" applyFill="1" applyBorder="1" applyAlignment="1">
      <alignment horizontal="center" vertical="top"/>
    </xf>
    <xf numFmtId="0" fontId="29" fillId="15" borderId="61" xfId="4" applyFont="1" applyFill="1" applyBorder="1" applyAlignment="1">
      <alignment horizontal="center" vertical="top"/>
    </xf>
    <xf numFmtId="0" fontId="22" fillId="4" borderId="68" xfId="4" applyFont="1" applyFill="1" applyBorder="1" applyAlignment="1">
      <alignment horizontal="left" vertical="top" wrapText="1" indent="1"/>
    </xf>
    <xf numFmtId="0" fontId="22" fillId="4" borderId="1" xfId="4" applyFont="1" applyFill="1" applyBorder="1" applyAlignment="1">
      <alignment horizontal="left" vertical="top" wrapText="1"/>
    </xf>
    <xf numFmtId="0" fontId="13" fillId="4" borderId="70" xfId="4" applyFont="1" applyFill="1" applyBorder="1" applyAlignment="1">
      <alignment horizontal="left" vertical="top" wrapText="1"/>
    </xf>
    <xf numFmtId="0" fontId="19" fillId="0" borderId="1" xfId="4" applyFont="1" applyFill="1" applyBorder="1" applyAlignment="1">
      <alignment vertical="top" wrapText="1"/>
    </xf>
    <xf numFmtId="0" fontId="13" fillId="0" borderId="70" xfId="4" applyFont="1" applyBorder="1" applyAlignment="1">
      <alignment vertical="top" wrapText="1"/>
    </xf>
    <xf numFmtId="0" fontId="13" fillId="0" borderId="1" xfId="4" applyFont="1" applyBorder="1" applyAlignment="1">
      <alignment vertical="top" wrapText="1"/>
    </xf>
    <xf numFmtId="0" fontId="22" fillId="4" borderId="2" xfId="4" applyFont="1" applyFill="1" applyBorder="1" applyAlignment="1">
      <alignment horizontal="left" vertical="top"/>
    </xf>
    <xf numFmtId="0" fontId="22" fillId="4" borderId="3" xfId="4" applyFont="1" applyFill="1" applyBorder="1" applyAlignment="1">
      <alignment horizontal="left" vertical="top"/>
    </xf>
    <xf numFmtId="0" fontId="19" fillId="3" borderId="64" xfId="4" applyFont="1" applyFill="1" applyBorder="1" applyAlignment="1">
      <alignment horizontal="left" vertical="top"/>
    </xf>
    <xf numFmtId="14" fontId="11" fillId="0" borderId="2" xfId="4" applyNumberFormat="1" applyFont="1" applyFill="1" applyBorder="1" applyAlignment="1" applyProtection="1">
      <alignment horizontal="left" vertical="top"/>
      <protection locked="0"/>
    </xf>
    <xf numFmtId="14" fontId="11" fillId="0" borderId="69" xfId="4" applyNumberFormat="1" applyFont="1" applyFill="1" applyBorder="1" applyAlignment="1" applyProtection="1">
      <alignment horizontal="left" vertical="top"/>
      <protection locked="0"/>
    </xf>
    <xf numFmtId="14" fontId="41" fillId="0" borderId="2" xfId="4" applyNumberFormat="1" applyFont="1" applyFill="1" applyBorder="1" applyAlignment="1" applyProtection="1">
      <alignment horizontal="left" vertical="top"/>
      <protection locked="0"/>
    </xf>
    <xf numFmtId="14" fontId="41" fillId="0" borderId="69" xfId="4" applyNumberFormat="1" applyFont="1" applyFill="1" applyBorder="1" applyAlignment="1" applyProtection="1">
      <alignment horizontal="left" vertical="top"/>
      <protection locked="0"/>
    </xf>
    <xf numFmtId="0" fontId="41" fillId="0" borderId="4" xfId="4" applyFont="1" applyBorder="1" applyAlignment="1" applyProtection="1">
      <alignment horizontal="left" vertical="top"/>
      <protection locked="0"/>
    </xf>
    <xf numFmtId="0" fontId="41" fillId="0" borderId="14" xfId="4" applyFont="1" applyBorder="1" applyAlignment="1" applyProtection="1">
      <alignment horizontal="left" vertical="top"/>
      <protection locked="0"/>
    </xf>
    <xf numFmtId="0" fontId="41" fillId="0" borderId="75" xfId="4" applyFont="1" applyBorder="1" applyAlignment="1" applyProtection="1">
      <alignment horizontal="left" vertical="top"/>
      <protection locked="0"/>
    </xf>
    <xf numFmtId="0" fontId="41" fillId="0" borderId="41" xfId="4" applyFont="1" applyBorder="1" applyAlignment="1" applyProtection="1">
      <alignment horizontal="left" vertical="top"/>
      <protection locked="0"/>
    </xf>
    <xf numFmtId="0" fontId="41" fillId="0" borderId="13" xfId="4" applyFont="1" applyBorder="1" applyAlignment="1" applyProtection="1">
      <alignment horizontal="left" vertical="top"/>
      <protection locked="0"/>
    </xf>
    <xf numFmtId="0" fontId="41" fillId="0" borderId="74" xfId="4" applyFont="1" applyBorder="1" applyAlignment="1" applyProtection="1">
      <alignment horizontal="left" vertical="top"/>
      <protection locked="0"/>
    </xf>
    <xf numFmtId="0" fontId="41" fillId="3" borderId="2" xfId="4" applyFont="1" applyFill="1" applyBorder="1" applyAlignment="1" applyProtection="1">
      <alignment horizontal="left" vertical="top" wrapText="1"/>
      <protection locked="0"/>
    </xf>
    <xf numFmtId="0" fontId="41" fillId="3" borderId="6" xfId="4" applyFont="1" applyFill="1" applyBorder="1" applyAlignment="1" applyProtection="1">
      <alignment horizontal="left" vertical="top" wrapText="1"/>
      <protection locked="0"/>
    </xf>
    <xf numFmtId="0" fontId="41" fillId="3" borderId="3" xfId="4" applyFont="1" applyFill="1" applyBorder="1" applyAlignment="1" applyProtection="1">
      <alignment horizontal="left" vertical="top" wrapText="1"/>
      <protection locked="0"/>
    </xf>
    <xf numFmtId="0" fontId="11" fillId="0" borderId="2" xfId="4" applyFont="1" applyFill="1" applyBorder="1" applyAlignment="1" applyProtection="1">
      <alignment horizontal="left" vertical="top"/>
      <protection locked="0"/>
    </xf>
    <xf numFmtId="0" fontId="11" fillId="0" borderId="69" xfId="4" applyFont="1" applyFill="1" applyBorder="1" applyAlignment="1" applyProtection="1">
      <alignment horizontal="left" vertical="top"/>
      <protection locked="0"/>
    </xf>
    <xf numFmtId="16" fontId="11" fillId="0" borderId="2" xfId="4" applyNumberFormat="1" applyFont="1" applyFill="1" applyBorder="1" applyAlignment="1" applyProtection="1">
      <alignment horizontal="left" vertical="top"/>
      <protection locked="0"/>
    </xf>
    <xf numFmtId="0" fontId="41" fillId="0" borderId="4" xfId="4" applyFont="1" applyBorder="1" applyAlignment="1" applyProtection="1">
      <alignment horizontal="left" vertical="top"/>
    </xf>
    <xf numFmtId="0" fontId="41" fillId="0" borderId="14" xfId="4" applyFont="1" applyBorder="1" applyAlignment="1" applyProtection="1">
      <alignment horizontal="left" vertical="top"/>
    </xf>
    <xf numFmtId="0" fontId="41" fillId="0" borderId="75" xfId="4" applyFont="1" applyBorder="1" applyAlignment="1" applyProtection="1">
      <alignment horizontal="left" vertical="top"/>
    </xf>
    <xf numFmtId="0" fontId="41" fillId="0" borderId="41" xfId="4" applyFont="1" applyBorder="1" applyAlignment="1" applyProtection="1">
      <alignment horizontal="left" vertical="top"/>
    </xf>
    <xf numFmtId="0" fontId="41" fillId="0" borderId="13" xfId="4" applyFont="1" applyBorder="1" applyAlignment="1" applyProtection="1">
      <alignment horizontal="left" vertical="top"/>
    </xf>
    <xf numFmtId="0" fontId="41" fillId="0" borderId="74" xfId="4" applyFont="1" applyBorder="1" applyAlignment="1" applyProtection="1">
      <alignment horizontal="left" vertical="top"/>
    </xf>
    <xf numFmtId="14" fontId="41" fillId="0" borderId="4" xfId="4" applyNumberFormat="1" applyFont="1" applyBorder="1" applyAlignment="1" applyProtection="1">
      <alignment horizontal="left" vertical="top"/>
      <protection locked="0"/>
    </xf>
    <xf numFmtId="14" fontId="41" fillId="0" borderId="14" xfId="4" applyNumberFormat="1" applyFont="1" applyBorder="1" applyAlignment="1" applyProtection="1">
      <alignment horizontal="left" vertical="top"/>
      <protection locked="0"/>
    </xf>
    <xf numFmtId="14" fontId="41" fillId="0" borderId="75" xfId="4" applyNumberFormat="1" applyFont="1" applyBorder="1" applyAlignment="1" applyProtection="1">
      <alignment horizontal="left" vertical="top"/>
      <protection locked="0"/>
    </xf>
    <xf numFmtId="14" fontId="41" fillId="0" borderId="41" xfId="4" applyNumberFormat="1" applyFont="1" applyBorder="1" applyAlignment="1" applyProtection="1">
      <alignment horizontal="left" vertical="top"/>
      <protection locked="0"/>
    </xf>
    <xf numFmtId="14" fontId="41" fillId="0" borderId="13" xfId="4" applyNumberFormat="1" applyFont="1" applyBorder="1" applyAlignment="1" applyProtection="1">
      <alignment horizontal="left" vertical="top"/>
      <protection locked="0"/>
    </xf>
    <xf numFmtId="14" fontId="41" fillId="0" borderId="74" xfId="4" applyNumberFormat="1" applyFont="1" applyBorder="1" applyAlignment="1" applyProtection="1">
      <alignment horizontal="left" vertical="top"/>
      <protection locked="0"/>
    </xf>
    <xf numFmtId="0" fontId="41" fillId="3" borderId="4" xfId="4" applyFont="1" applyFill="1" applyBorder="1" applyAlignment="1" applyProtection="1">
      <alignment horizontal="left" vertical="top" wrapText="1"/>
      <protection locked="0"/>
    </xf>
    <xf numFmtId="0" fontId="41" fillId="3" borderId="14" xfId="4" applyFont="1" applyFill="1" applyBorder="1" applyAlignment="1" applyProtection="1">
      <alignment horizontal="left" vertical="top" wrapText="1"/>
      <protection locked="0"/>
    </xf>
    <xf numFmtId="0" fontId="41" fillId="3" borderId="5" xfId="4" applyFont="1" applyFill="1" applyBorder="1" applyAlignment="1" applyProtection="1">
      <alignment horizontal="left" vertical="top" wrapText="1"/>
      <protection locked="0"/>
    </xf>
    <xf numFmtId="14" fontId="41" fillId="0" borderId="4" xfId="4" applyNumberFormat="1" applyFont="1" applyFill="1" applyBorder="1" applyAlignment="1" applyProtection="1">
      <alignment horizontal="left" vertical="top"/>
      <protection locked="0"/>
    </xf>
    <xf numFmtId="14" fontId="41" fillId="0" borderId="75" xfId="4" applyNumberFormat="1" applyFont="1" applyFill="1" applyBorder="1" applyAlignment="1" applyProtection="1">
      <alignment horizontal="left" vertical="top"/>
      <protection locked="0"/>
    </xf>
    <xf numFmtId="0" fontId="22" fillId="2" borderId="59" xfId="4" applyFont="1" applyFill="1" applyBorder="1" applyAlignment="1" applyProtection="1">
      <alignment horizontal="center" vertical="top"/>
    </xf>
    <xf numFmtId="0" fontId="22" fillId="2" borderId="60" xfId="4" applyFont="1" applyFill="1" applyBorder="1" applyAlignment="1" applyProtection="1">
      <alignment horizontal="center" vertical="top"/>
    </xf>
    <xf numFmtId="0" fontId="22" fillId="2" borderId="61" xfId="4" applyFont="1" applyFill="1" applyBorder="1" applyAlignment="1" applyProtection="1">
      <alignment horizontal="center" vertical="top"/>
    </xf>
    <xf numFmtId="0" fontId="31" fillId="10" borderId="66" xfId="4" applyFont="1" applyFill="1" applyBorder="1" applyAlignment="1" applyProtection="1">
      <alignment horizontal="left" vertical="top" indent="1"/>
    </xf>
    <xf numFmtId="0" fontId="31" fillId="10" borderId="68" xfId="4" applyFont="1" applyFill="1" applyBorder="1" applyAlignment="1" applyProtection="1">
      <alignment horizontal="left" vertical="top" indent="1"/>
    </xf>
    <xf numFmtId="0" fontId="41" fillId="3" borderId="8" xfId="4" applyFont="1" applyFill="1" applyBorder="1" applyAlignment="1" applyProtection="1">
      <alignment horizontal="left" vertical="top" wrapText="1"/>
    </xf>
    <xf numFmtId="0" fontId="41" fillId="3" borderId="1" xfId="4" applyFont="1" applyFill="1" applyBorder="1" applyAlignment="1" applyProtection="1">
      <alignment horizontal="left" vertical="top" wrapText="1"/>
    </xf>
    <xf numFmtId="0" fontId="31" fillId="10" borderId="13" xfId="4" applyFont="1" applyFill="1" applyBorder="1" applyAlignment="1" applyProtection="1">
      <alignment horizontal="left" vertical="top" wrapText="1"/>
    </xf>
    <xf numFmtId="0" fontId="31" fillId="10" borderId="74" xfId="4" applyFont="1" applyFill="1" applyBorder="1" applyAlignment="1" applyProtection="1">
      <alignment horizontal="left" vertical="top" wrapText="1"/>
    </xf>
    <xf numFmtId="0" fontId="41" fillId="0" borderId="2" xfId="4" applyFont="1" applyBorder="1" applyAlignment="1" applyProtection="1">
      <alignment horizontal="left" vertical="top"/>
      <protection locked="0"/>
    </xf>
    <xf numFmtId="0" fontId="41" fillId="0" borderId="69" xfId="4" applyFont="1" applyBorder="1" applyAlignment="1" applyProtection="1">
      <alignment horizontal="left" vertical="top"/>
      <protection locked="0"/>
    </xf>
    <xf numFmtId="0" fontId="41" fillId="3" borderId="2" xfId="4" applyFont="1" applyFill="1" applyBorder="1" applyAlignment="1" applyProtection="1">
      <alignment vertical="top" wrapText="1"/>
      <protection locked="0"/>
    </xf>
    <xf numFmtId="0" fontId="41" fillId="3" borderId="69" xfId="4" applyFont="1" applyFill="1" applyBorder="1" applyAlignment="1" applyProtection="1">
      <alignment vertical="top" wrapText="1"/>
      <protection locked="0"/>
    </xf>
    <xf numFmtId="0" fontId="41" fillId="3" borderId="62" xfId="4" applyFont="1" applyFill="1" applyBorder="1" applyAlignment="1" applyProtection="1">
      <alignment horizontal="left" vertical="top" wrapText="1"/>
      <protection locked="0"/>
    </xf>
    <xf numFmtId="0" fontId="41" fillId="3" borderId="0" xfId="4" applyFont="1" applyFill="1" applyBorder="1" applyAlignment="1" applyProtection="1">
      <alignment horizontal="left" vertical="top" wrapText="1"/>
      <protection locked="0"/>
    </xf>
    <xf numFmtId="0" fontId="41" fillId="3" borderId="15" xfId="4" applyFont="1" applyFill="1" applyBorder="1" applyAlignment="1" applyProtection="1">
      <alignment horizontal="left" vertical="top" wrapText="1"/>
      <protection locked="0"/>
    </xf>
    <xf numFmtId="0" fontId="22" fillId="2" borderId="59" xfId="4" applyFont="1" applyFill="1" applyBorder="1" applyAlignment="1" applyProtection="1">
      <alignment vertical="top"/>
    </xf>
    <xf numFmtId="0" fontId="22" fillId="2" borderId="60" xfId="4" applyFont="1" applyFill="1" applyBorder="1" applyAlignment="1" applyProtection="1">
      <alignment vertical="top"/>
    </xf>
    <xf numFmtId="0" fontId="22" fillId="2" borderId="61" xfId="4" applyFont="1" applyFill="1" applyBorder="1" applyAlignment="1" applyProtection="1">
      <alignment vertical="top"/>
    </xf>
    <xf numFmtId="0" fontId="31" fillId="10" borderId="73" xfId="4" applyFont="1" applyFill="1" applyBorder="1" applyAlignment="1" applyProtection="1">
      <alignment vertical="top"/>
    </xf>
    <xf numFmtId="0" fontId="31" fillId="10" borderId="13" xfId="4" applyFont="1" applyFill="1" applyBorder="1" applyAlignment="1" applyProtection="1">
      <alignment vertical="top"/>
    </xf>
    <xf numFmtId="0" fontId="31" fillId="10" borderId="0" xfId="4" applyFont="1" applyFill="1" applyBorder="1" applyAlignment="1" applyProtection="1">
      <alignment vertical="top"/>
    </xf>
    <xf numFmtId="0" fontId="31" fillId="10" borderId="20" xfId="4" applyFont="1" applyFill="1" applyBorder="1" applyAlignment="1" applyProtection="1">
      <alignment vertical="top"/>
    </xf>
    <xf numFmtId="0" fontId="41" fillId="0" borderId="2" xfId="4" applyFont="1" applyFill="1" applyBorder="1" applyAlignment="1" applyProtection="1">
      <alignment vertical="top" wrapText="1"/>
      <protection locked="0"/>
    </xf>
    <xf numFmtId="0" fontId="41" fillId="0" borderId="69" xfId="4" applyFont="1" applyFill="1" applyBorder="1" applyAlignment="1" applyProtection="1">
      <alignment vertical="top" wrapText="1"/>
      <protection locked="0"/>
    </xf>
    <xf numFmtId="0" fontId="41" fillId="0" borderId="2" xfId="4" applyFont="1" applyBorder="1" applyAlignment="1" applyProtection="1">
      <alignment vertical="top" wrapText="1"/>
      <protection locked="0"/>
    </xf>
    <xf numFmtId="0" fontId="41" fillId="0" borderId="69" xfId="4" applyFont="1" applyBorder="1" applyAlignment="1" applyProtection="1">
      <alignment vertical="top" wrapText="1"/>
      <protection locked="0"/>
    </xf>
    <xf numFmtId="14" fontId="41" fillId="0" borderId="77" xfId="4" applyNumberFormat="1" applyFont="1" applyBorder="1" applyAlignment="1" applyProtection="1">
      <alignment horizontal="left" vertical="top"/>
      <protection locked="0"/>
    </xf>
    <xf numFmtId="14" fontId="41" fillId="0" borderId="37" xfId="4" applyNumberFormat="1" applyFont="1" applyBorder="1" applyAlignment="1" applyProtection="1">
      <alignment horizontal="left" vertical="top"/>
      <protection locked="0"/>
    </xf>
    <xf numFmtId="14" fontId="41" fillId="0" borderId="38" xfId="4" applyNumberFormat="1" applyFont="1" applyBorder="1" applyAlignment="1" applyProtection="1">
      <alignment horizontal="left" vertical="top"/>
      <protection locked="0"/>
    </xf>
    <xf numFmtId="0" fontId="41" fillId="3" borderId="1" xfId="4" applyFont="1" applyFill="1" applyBorder="1" applyAlignment="1" applyProtection="1">
      <alignment horizontal="left" vertical="top" wrapText="1"/>
      <protection locked="0"/>
    </xf>
    <xf numFmtId="0" fontId="31" fillId="10" borderId="68" xfId="4" applyFont="1" applyFill="1" applyBorder="1" applyAlignment="1" applyProtection="1">
      <alignment horizontal="left" vertical="top" wrapText="1" indent="1"/>
    </xf>
    <xf numFmtId="0" fontId="31" fillId="10" borderId="78" xfId="4" applyFont="1" applyFill="1" applyBorder="1" applyAlignment="1" applyProtection="1">
      <alignment horizontal="left" vertical="top" wrapText="1" indent="1"/>
    </xf>
    <xf numFmtId="0" fontId="13" fillId="4" borderId="14" xfId="4" applyFont="1" applyFill="1" applyBorder="1" applyAlignment="1" applyProtection="1">
      <alignment vertical="top"/>
    </xf>
    <xf numFmtId="0" fontId="13" fillId="4" borderId="75" xfId="4" applyFont="1" applyFill="1" applyBorder="1" applyAlignment="1" applyProtection="1">
      <alignment vertical="top"/>
    </xf>
    <xf numFmtId="0" fontId="13" fillId="4" borderId="13" xfId="4" applyFont="1" applyFill="1" applyBorder="1" applyAlignment="1" applyProtection="1">
      <alignment vertical="top"/>
    </xf>
    <xf numFmtId="0" fontId="13" fillId="4" borderId="74" xfId="4" applyFont="1" applyFill="1" applyBorder="1" applyAlignment="1" applyProtection="1">
      <alignment vertical="top"/>
    </xf>
    <xf numFmtId="0" fontId="31" fillId="10" borderId="2" xfId="4" applyFont="1" applyFill="1" applyBorder="1" applyAlignment="1" applyProtection="1">
      <alignment horizontal="left" vertical="top" wrapText="1" indent="1"/>
    </xf>
    <xf numFmtId="0" fontId="31" fillId="10" borderId="6" xfId="4" applyFont="1" applyFill="1" applyBorder="1" applyAlignment="1" applyProtection="1">
      <alignment horizontal="left" vertical="top" wrapText="1" indent="1"/>
    </xf>
    <xf numFmtId="0" fontId="31" fillId="10" borderId="3" xfId="4" applyFont="1" applyFill="1" applyBorder="1" applyAlignment="1" applyProtection="1">
      <alignment horizontal="left" vertical="top" wrapText="1" indent="1"/>
    </xf>
    <xf numFmtId="0" fontId="41" fillId="3" borderId="6" xfId="4" applyFont="1" applyFill="1" applyBorder="1" applyAlignment="1" applyProtection="1">
      <alignment vertical="top" wrapText="1"/>
      <protection locked="0"/>
    </xf>
    <xf numFmtId="0" fontId="41" fillId="3" borderId="3" xfId="4" applyFont="1" applyFill="1" applyBorder="1" applyAlignment="1" applyProtection="1">
      <alignment vertical="top" wrapText="1"/>
      <protection locked="0"/>
    </xf>
    <xf numFmtId="0" fontId="41" fillId="3" borderId="75" xfId="4" applyFont="1" applyFill="1" applyBorder="1" applyAlignment="1" applyProtection="1">
      <alignment horizontal="left" vertical="top" wrapText="1"/>
      <protection locked="0"/>
    </xf>
    <xf numFmtId="0" fontId="41" fillId="3" borderId="20" xfId="4" applyFont="1" applyFill="1" applyBorder="1" applyAlignment="1" applyProtection="1">
      <alignment horizontal="left" vertical="top" wrapText="1"/>
      <protection locked="0"/>
    </xf>
    <xf numFmtId="0" fontId="32" fillId="10" borderId="68" xfId="4" applyFont="1" applyFill="1" applyBorder="1" applyAlignment="1" applyProtection="1">
      <alignment horizontal="left" vertical="top" indent="1"/>
    </xf>
    <xf numFmtId="0" fontId="41" fillId="3" borderId="41" xfId="4" applyFont="1" applyFill="1" applyBorder="1" applyAlignment="1" applyProtection="1">
      <alignment horizontal="left" vertical="top" wrapText="1"/>
    </xf>
    <xf numFmtId="0" fontId="41" fillId="3" borderId="13" xfId="4" applyFont="1" applyFill="1" applyBorder="1" applyAlignment="1" applyProtection="1">
      <alignment horizontal="left" vertical="top" wrapText="1"/>
    </xf>
    <xf numFmtId="0" fontId="41" fillId="3" borderId="74" xfId="4" applyFont="1" applyFill="1" applyBorder="1" applyAlignment="1" applyProtection="1">
      <alignment horizontal="left" vertical="top" wrapText="1"/>
    </xf>
    <xf numFmtId="0" fontId="41" fillId="3" borderId="2" xfId="4" applyFont="1" applyFill="1" applyBorder="1" applyAlignment="1" applyProtection="1">
      <alignment horizontal="left" vertical="top" wrapText="1"/>
    </xf>
    <xf numFmtId="0" fontId="41" fillId="3" borderId="6" xfId="4" applyFont="1" applyFill="1" applyBorder="1" applyAlignment="1" applyProtection="1">
      <alignment horizontal="left" vertical="top" wrapText="1"/>
    </xf>
    <xf numFmtId="0" fontId="41" fillId="3" borderId="69" xfId="4" applyFont="1" applyFill="1" applyBorder="1" applyAlignment="1" applyProtection="1">
      <alignment horizontal="left" vertical="top" wrapText="1"/>
    </xf>
    <xf numFmtId="0" fontId="41" fillId="3" borderId="4" xfId="4" applyFont="1" applyFill="1" applyBorder="1" applyAlignment="1" applyProtection="1">
      <alignment horizontal="left" vertical="top" wrapText="1"/>
    </xf>
    <xf numFmtId="0" fontId="41" fillId="3" borderId="14" xfId="4" applyFont="1" applyFill="1" applyBorder="1" applyAlignment="1" applyProtection="1">
      <alignment horizontal="left" vertical="top" wrapText="1"/>
    </xf>
    <xf numFmtId="0" fontId="41" fillId="3" borderId="75" xfId="4" applyFont="1" applyFill="1" applyBorder="1" applyAlignment="1" applyProtection="1">
      <alignment horizontal="left" vertical="top" wrapText="1"/>
    </xf>
    <xf numFmtId="0" fontId="31" fillId="10" borderId="41" xfId="4" applyFont="1" applyFill="1" applyBorder="1" applyAlignment="1" applyProtection="1">
      <alignment vertical="top"/>
    </xf>
    <xf numFmtId="0" fontId="31" fillId="10" borderId="42" xfId="4" applyFont="1" applyFill="1" applyBorder="1" applyAlignment="1" applyProtection="1">
      <alignment vertical="top"/>
    </xf>
    <xf numFmtId="0" fontId="41" fillId="0" borderId="2" xfId="4" applyFont="1" applyFill="1" applyBorder="1" applyAlignment="1" applyProtection="1">
      <alignment vertical="top"/>
      <protection locked="0"/>
    </xf>
    <xf numFmtId="0" fontId="41" fillId="0" borderId="6" xfId="4" applyFont="1" applyFill="1" applyBorder="1" applyAlignment="1" applyProtection="1">
      <alignment vertical="top"/>
      <protection locked="0"/>
    </xf>
    <xf numFmtId="0" fontId="41" fillId="0" borderId="3" xfId="4" applyFont="1" applyFill="1" applyBorder="1" applyAlignment="1" applyProtection="1">
      <alignment vertical="top"/>
      <protection locked="0"/>
    </xf>
    <xf numFmtId="0" fontId="31" fillId="10" borderId="41" xfId="4" applyFont="1" applyFill="1" applyBorder="1" applyAlignment="1" applyProtection="1">
      <alignment vertical="top" wrapText="1"/>
    </xf>
    <xf numFmtId="0" fontId="31" fillId="10" borderId="74" xfId="4" applyFont="1" applyFill="1" applyBorder="1" applyAlignment="1" applyProtection="1">
      <alignment vertical="top" wrapText="1"/>
    </xf>
    <xf numFmtId="0" fontId="31" fillId="10" borderId="4" xfId="4" applyFont="1" applyFill="1" applyBorder="1" applyAlignment="1" applyProtection="1">
      <alignment horizontal="left" vertical="top"/>
    </xf>
    <xf numFmtId="0" fontId="31" fillId="10" borderId="14" xfId="4" applyFont="1" applyFill="1" applyBorder="1" applyAlignment="1" applyProtection="1">
      <alignment horizontal="left" vertical="top"/>
    </xf>
    <xf numFmtId="0" fontId="31" fillId="10" borderId="5" xfId="4" applyFont="1" applyFill="1" applyBorder="1" applyAlignment="1" applyProtection="1">
      <alignment horizontal="left" vertical="top"/>
    </xf>
    <xf numFmtId="0" fontId="31" fillId="10" borderId="2" xfId="4" applyFont="1" applyFill="1" applyBorder="1" applyAlignment="1" applyProtection="1">
      <alignment horizontal="left" vertical="top" wrapText="1"/>
    </xf>
    <xf numFmtId="0" fontId="31" fillId="10" borderId="69" xfId="4" applyFont="1" applyFill="1" applyBorder="1" applyAlignment="1" applyProtection="1">
      <alignment horizontal="left" vertical="top" wrapText="1"/>
    </xf>
    <xf numFmtId="0" fontId="28" fillId="16" borderId="59" xfId="4" applyFont="1" applyFill="1" applyBorder="1" applyAlignment="1" applyProtection="1">
      <alignment horizontal="center" vertical="center"/>
    </xf>
    <xf numFmtId="0" fontId="28" fillId="16" borderId="60" xfId="4" applyFont="1" applyFill="1" applyBorder="1" applyAlignment="1" applyProtection="1">
      <alignment horizontal="center" vertical="center"/>
    </xf>
    <xf numFmtId="0" fontId="28" fillId="16" borderId="61" xfId="4" applyFont="1" applyFill="1" applyBorder="1" applyAlignment="1" applyProtection="1">
      <alignment horizontal="center" vertical="center"/>
    </xf>
    <xf numFmtId="0" fontId="41" fillId="3" borderId="63" xfId="4" applyFont="1" applyFill="1" applyBorder="1" applyAlignment="1" applyProtection="1">
      <alignment horizontal="left" vertical="top"/>
    </xf>
    <xf numFmtId="0" fontId="41" fillId="3" borderId="64" xfId="4" applyFont="1" applyFill="1" applyBorder="1" applyAlignment="1" applyProtection="1">
      <alignment horizontal="left" vertical="top"/>
    </xf>
    <xf numFmtId="0" fontId="41" fillId="3" borderId="67" xfId="4" applyFont="1" applyFill="1" applyBorder="1" applyAlignment="1" applyProtection="1">
      <alignment horizontal="left" vertical="top"/>
    </xf>
    <xf numFmtId="0" fontId="41" fillId="3" borderId="62" xfId="4" applyFont="1" applyFill="1" applyBorder="1" applyAlignment="1" applyProtection="1">
      <alignment horizontal="left" vertical="top"/>
      <protection locked="0"/>
    </xf>
    <xf numFmtId="0" fontId="41" fillId="3" borderId="15" xfId="4" applyFont="1" applyFill="1" applyBorder="1" applyAlignment="1" applyProtection="1">
      <alignment horizontal="left" vertical="top"/>
      <protection locked="0"/>
    </xf>
    <xf numFmtId="0" fontId="41" fillId="3" borderId="62" xfId="4" applyFont="1" applyFill="1" applyBorder="1" applyAlignment="1" applyProtection="1">
      <alignment horizontal="left" vertical="top"/>
    </xf>
    <xf numFmtId="0" fontId="41" fillId="3" borderId="20" xfId="4" applyFont="1" applyFill="1" applyBorder="1" applyAlignment="1" applyProtection="1">
      <alignment horizontal="left" vertical="top"/>
    </xf>
    <xf numFmtId="0" fontId="31" fillId="10" borderId="66" xfId="4" applyFont="1" applyFill="1" applyBorder="1" applyAlignment="1" applyProtection="1">
      <alignment horizontal="left" vertical="top" wrapText="1" indent="1"/>
    </xf>
    <xf numFmtId="0" fontId="31" fillId="10" borderId="71" xfId="4" applyFont="1" applyFill="1" applyBorder="1" applyAlignment="1" applyProtection="1">
      <alignment horizontal="left" vertical="top" wrapText="1" indent="1"/>
    </xf>
    <xf numFmtId="0" fontId="31" fillId="10" borderId="72" xfId="4" applyFont="1" applyFill="1" applyBorder="1" applyAlignment="1" applyProtection="1">
      <alignment horizontal="left" vertical="top" wrapText="1" indent="1"/>
    </xf>
    <xf numFmtId="0" fontId="11" fillId="0" borderId="2" xfId="4" applyFont="1" applyFill="1" applyBorder="1" applyAlignment="1" applyProtection="1">
      <alignment horizontal="left" vertical="top" wrapText="1"/>
      <protection locked="0"/>
    </xf>
    <xf numFmtId="0" fontId="11" fillId="0" borderId="69" xfId="4" applyFont="1" applyFill="1" applyBorder="1" applyAlignment="1" applyProtection="1">
      <alignment horizontal="left" vertical="top" wrapText="1"/>
      <protection locked="0"/>
    </xf>
    <xf numFmtId="0" fontId="11" fillId="18" borderId="73" xfId="4" applyFont="1" applyFill="1" applyBorder="1" applyAlignment="1" applyProtection="1">
      <alignment vertical="top" wrapText="1"/>
    </xf>
    <xf numFmtId="0" fontId="11" fillId="18" borderId="13" xfId="4" applyFont="1" applyFill="1" applyBorder="1" applyAlignment="1" applyProtection="1">
      <alignment vertical="top" wrapText="1"/>
    </xf>
    <xf numFmtId="0" fontId="11" fillId="18" borderId="42" xfId="4" applyFont="1" applyFill="1" applyBorder="1" applyAlignment="1" applyProtection="1">
      <alignment vertical="top" wrapText="1"/>
    </xf>
    <xf numFmtId="0" fontId="11" fillId="18" borderId="65" xfId="4" applyFont="1" applyFill="1" applyBorder="1" applyAlignment="1" applyProtection="1">
      <alignment vertical="top" wrapText="1"/>
    </xf>
    <xf numFmtId="0" fontId="11" fillId="18" borderId="6" xfId="4" applyFont="1" applyFill="1" applyBorder="1" applyAlignment="1" applyProtection="1">
      <alignment vertical="top" wrapText="1"/>
    </xf>
    <xf numFmtId="0" fontId="11" fillId="18" borderId="3" xfId="4" applyFont="1" applyFill="1" applyBorder="1" applyAlignment="1" applyProtection="1">
      <alignment vertical="top" wrapText="1"/>
    </xf>
    <xf numFmtId="0" fontId="41" fillId="18" borderId="19" xfId="4" applyFont="1" applyFill="1" applyBorder="1" applyAlignment="1" applyProtection="1">
      <alignment vertical="top" wrapText="1"/>
    </xf>
    <xf numFmtId="0" fontId="41" fillId="18" borderId="0" xfId="4" applyFont="1" applyFill="1" applyBorder="1" applyAlignment="1" applyProtection="1">
      <alignment vertical="top" wrapText="1"/>
    </xf>
    <xf numFmtId="0" fontId="41" fillId="18" borderId="15" xfId="4" applyFont="1" applyFill="1" applyBorder="1" applyAlignment="1" applyProtection="1">
      <alignment vertical="top" wrapText="1"/>
    </xf>
    <xf numFmtId="0" fontId="41" fillId="18" borderId="73" xfId="4" applyFont="1" applyFill="1" applyBorder="1" applyAlignment="1" applyProtection="1">
      <alignment vertical="top" wrapText="1"/>
    </xf>
    <xf numFmtId="0" fontId="41" fillId="18" borderId="13" xfId="4" applyFont="1" applyFill="1" applyBorder="1" applyAlignment="1" applyProtection="1">
      <alignment vertical="top" wrapText="1"/>
    </xf>
    <xf numFmtId="0" fontId="41" fillId="18" borderId="42" xfId="4" applyFont="1" applyFill="1" applyBorder="1" applyAlignment="1" applyProtection="1">
      <alignment vertical="top" wrapText="1"/>
    </xf>
    <xf numFmtId="0" fontId="11" fillId="18" borderId="1" xfId="4" applyFont="1" applyFill="1" applyBorder="1" applyAlignment="1" applyProtection="1">
      <alignment horizontal="center" vertical="top" wrapText="1"/>
    </xf>
    <xf numFmtId="0" fontId="11" fillId="18" borderId="70" xfId="4" applyFont="1" applyFill="1" applyBorder="1" applyAlignment="1" applyProtection="1">
      <alignment horizontal="center" vertical="top" wrapText="1"/>
    </xf>
    <xf numFmtId="0" fontId="41" fillId="3" borderId="70" xfId="4" applyFont="1" applyFill="1" applyBorder="1" applyAlignment="1" applyProtection="1">
      <alignment horizontal="left" vertical="top" wrapText="1"/>
      <protection locked="0"/>
    </xf>
    <xf numFmtId="0" fontId="41" fillId="18" borderId="80" xfId="4" applyFont="1" applyFill="1" applyBorder="1" applyAlignment="1" applyProtection="1">
      <alignment vertical="top" wrapText="1"/>
    </xf>
    <xf numFmtId="0" fontId="41" fillId="18" borderId="14" xfId="4" applyFont="1" applyFill="1" applyBorder="1" applyAlignment="1" applyProtection="1">
      <alignment vertical="top" wrapText="1"/>
    </xf>
    <xf numFmtId="0" fontId="41" fillId="18" borderId="5" xfId="4" applyFont="1" applyFill="1" applyBorder="1" applyAlignment="1" applyProtection="1">
      <alignment vertical="top" wrapText="1"/>
    </xf>
    <xf numFmtId="0" fontId="41" fillId="3" borderId="78" xfId="4" applyFont="1" applyFill="1" applyBorder="1" applyAlignment="1" applyProtection="1">
      <alignment horizontal="left" vertical="top" wrapText="1"/>
      <protection locked="0"/>
    </xf>
    <xf numFmtId="0" fontId="41" fillId="3" borderId="7" xfId="4" applyFont="1" applyFill="1" applyBorder="1" applyAlignment="1" applyProtection="1">
      <alignment horizontal="left" vertical="top" wrapText="1"/>
      <protection locked="0"/>
    </xf>
    <xf numFmtId="0" fontId="41" fillId="3" borderId="79" xfId="4" applyFont="1" applyFill="1" applyBorder="1" applyAlignment="1" applyProtection="1">
      <alignment horizontal="left" vertical="top" wrapText="1"/>
      <protection locked="0"/>
    </xf>
    <xf numFmtId="0" fontId="13" fillId="4" borderId="0" xfId="4" applyFont="1" applyFill="1" applyBorder="1" applyAlignment="1" applyProtection="1">
      <alignment vertical="top"/>
    </xf>
    <xf numFmtId="0" fontId="13" fillId="4" borderId="20" xfId="4" applyFont="1" applyFill="1" applyBorder="1" applyAlignment="1" applyProtection="1">
      <alignment vertical="top"/>
    </xf>
    <xf numFmtId="0" fontId="11" fillId="18" borderId="4" xfId="4" applyFont="1" applyFill="1" applyBorder="1" applyAlignment="1" applyProtection="1">
      <alignment vertical="top" wrapText="1"/>
    </xf>
    <xf numFmtId="0" fontId="11" fillId="18" borderId="5" xfId="4" applyFont="1" applyFill="1" applyBorder="1" applyAlignment="1" applyProtection="1">
      <alignment vertical="top" wrapText="1"/>
    </xf>
    <xf numFmtId="0" fontId="11" fillId="18" borderId="62" xfId="4" applyFont="1" applyFill="1" applyBorder="1" applyAlignment="1" applyProtection="1">
      <alignment vertical="top" wrapText="1"/>
    </xf>
    <xf numFmtId="0" fontId="11" fillId="18" borderId="15" xfId="4" applyFont="1" applyFill="1" applyBorder="1" applyAlignment="1" applyProtection="1">
      <alignment vertical="top" wrapText="1"/>
    </xf>
    <xf numFmtId="0" fontId="11" fillId="18" borderId="41" xfId="4" applyFont="1" applyFill="1" applyBorder="1" applyAlignment="1" applyProtection="1">
      <alignment vertical="top" wrapText="1"/>
    </xf>
    <xf numFmtId="0" fontId="41" fillId="3" borderId="77" xfId="4" applyFont="1" applyFill="1" applyBorder="1" applyAlignment="1" applyProtection="1">
      <alignment horizontal="left" vertical="top" wrapText="1"/>
      <protection locked="0"/>
    </xf>
    <xf numFmtId="0" fontId="41" fillId="3" borderId="81" xfId="4" applyFont="1" applyFill="1" applyBorder="1" applyAlignment="1" applyProtection="1">
      <alignment horizontal="left" vertical="top" wrapText="1"/>
      <protection locked="0"/>
    </xf>
    <xf numFmtId="0" fontId="41" fillId="3" borderId="80" xfId="4" applyFont="1" applyFill="1" applyBorder="1" applyAlignment="1" applyProtection="1">
      <alignment horizontal="left" vertical="top" wrapText="1"/>
      <protection locked="0"/>
    </xf>
    <xf numFmtId="0" fontId="41" fillId="3" borderId="19" xfId="4" applyFont="1" applyFill="1" applyBorder="1" applyAlignment="1" applyProtection="1">
      <alignment horizontal="left" vertical="top" wrapText="1"/>
      <protection locked="0"/>
    </xf>
    <xf numFmtId="0" fontId="41" fillId="3" borderId="36" xfId="4" applyFont="1" applyFill="1" applyBorder="1" applyAlignment="1" applyProtection="1">
      <alignment horizontal="left" vertical="top" wrapText="1"/>
      <protection locked="0"/>
    </xf>
    <xf numFmtId="0" fontId="41" fillId="3" borderId="37" xfId="4" applyFont="1" applyFill="1" applyBorder="1" applyAlignment="1" applyProtection="1">
      <alignment horizontal="left" vertical="top" wrapText="1"/>
      <protection locked="0"/>
    </xf>
    <xf numFmtId="0" fontId="31" fillId="2" borderId="16" xfId="4" applyFont="1" applyFill="1" applyBorder="1" applyAlignment="1" applyProtection="1">
      <alignment horizontal="center" vertical="center" wrapText="1"/>
    </xf>
    <xf numFmtId="0" fontId="31" fillId="2" borderId="17" xfId="4" applyFont="1" applyFill="1" applyBorder="1" applyAlignment="1" applyProtection="1">
      <alignment horizontal="center" vertical="center" wrapText="1"/>
    </xf>
    <xf numFmtId="0" fontId="31" fillId="2" borderId="18" xfId="4" applyFont="1" applyFill="1" applyBorder="1" applyAlignment="1" applyProtection="1">
      <alignment horizontal="center" vertical="center" wrapText="1"/>
    </xf>
    <xf numFmtId="0" fontId="31" fillId="2" borderId="36" xfId="4" applyFont="1" applyFill="1" applyBorder="1" applyAlignment="1" applyProtection="1">
      <alignment horizontal="center" vertical="center" wrapText="1"/>
    </xf>
    <xf numFmtId="0" fontId="31" fillId="2" borderId="37" xfId="4" applyFont="1" applyFill="1" applyBorder="1" applyAlignment="1" applyProtection="1">
      <alignment horizontal="center" vertical="center" wrapText="1"/>
    </xf>
    <xf numFmtId="0" fontId="31" fillId="2" borderId="38" xfId="4" applyFont="1" applyFill="1" applyBorder="1" applyAlignment="1" applyProtection="1">
      <alignment horizontal="center" vertical="center" wrapText="1"/>
    </xf>
    <xf numFmtId="0" fontId="29" fillId="16" borderId="16" xfId="4" applyFont="1" applyFill="1" applyBorder="1" applyAlignment="1" applyProtection="1">
      <alignment horizontal="center" vertical="top"/>
    </xf>
    <xf numFmtId="0" fontId="29" fillId="16" borderId="17" xfId="4" applyFont="1" applyFill="1" applyBorder="1" applyAlignment="1" applyProtection="1">
      <alignment horizontal="center" vertical="top"/>
    </xf>
    <xf numFmtId="0" fontId="29" fillId="16" borderId="18" xfId="4" applyFont="1" applyFill="1" applyBorder="1" applyAlignment="1" applyProtection="1">
      <alignment horizontal="center" vertical="top"/>
    </xf>
    <xf numFmtId="0" fontId="13" fillId="4" borderId="0" xfId="4" applyFont="1" applyFill="1" applyBorder="1" applyAlignment="1" applyProtection="1">
      <alignment horizontal="center" vertical="top"/>
    </xf>
    <xf numFmtId="0" fontId="13" fillId="4" borderId="20" xfId="4" applyFont="1" applyFill="1" applyBorder="1" applyAlignment="1" applyProtection="1">
      <alignment horizontal="center" vertical="top"/>
    </xf>
    <xf numFmtId="0" fontId="31" fillId="2" borderId="59" xfId="4" applyFont="1" applyFill="1" applyBorder="1" applyAlignment="1" applyProtection="1">
      <alignment horizontal="center" vertical="center"/>
    </xf>
    <xf numFmtId="0" fontId="31" fillId="2" borderId="60" xfId="4" applyFont="1" applyFill="1" applyBorder="1" applyAlignment="1" applyProtection="1">
      <alignment horizontal="center" vertical="center"/>
    </xf>
    <xf numFmtId="0" fontId="31" fillId="2" borderId="61" xfId="4" applyFont="1" applyFill="1" applyBorder="1" applyAlignment="1" applyProtection="1">
      <alignment horizontal="center" vertical="center"/>
    </xf>
    <xf numFmtId="0" fontId="11" fillId="18" borderId="19" xfId="4" applyFont="1" applyFill="1" applyBorder="1" applyAlignment="1" applyProtection="1">
      <alignment vertical="top" wrapText="1"/>
    </xf>
    <xf numFmtId="0" fontId="11" fillId="18" borderId="0" xfId="4" applyFont="1" applyFill="1" applyBorder="1" applyAlignment="1" applyProtection="1">
      <alignment vertical="top" wrapText="1"/>
    </xf>
    <xf numFmtId="0" fontId="11" fillId="18" borderId="80" xfId="4" applyFont="1" applyFill="1" applyBorder="1" applyAlignment="1" applyProtection="1">
      <alignment vertical="top" wrapText="1"/>
    </xf>
    <xf numFmtId="0" fontId="11" fillId="18" borderId="14" xfId="4" applyFont="1" applyFill="1" applyBorder="1" applyAlignment="1" applyProtection="1">
      <alignment vertical="top" wrapText="1"/>
    </xf>
    <xf numFmtId="0" fontId="41" fillId="3" borderId="82" xfId="4" applyFont="1" applyFill="1" applyBorder="1" applyAlignment="1" applyProtection="1">
      <alignment horizontal="left" vertical="top" wrapText="1"/>
      <protection locked="0"/>
    </xf>
    <xf numFmtId="0" fontId="41" fillId="3" borderId="83" xfId="4" applyFont="1" applyFill="1" applyBorder="1" applyAlignment="1" applyProtection="1">
      <alignment horizontal="left" vertical="top" wrapText="1"/>
      <protection locked="0"/>
    </xf>
    <xf numFmtId="0" fontId="41" fillId="3" borderId="84" xfId="4" applyFont="1" applyFill="1" applyBorder="1" applyAlignment="1" applyProtection="1">
      <alignment horizontal="left" vertical="top" wrapText="1"/>
      <protection locked="0"/>
    </xf>
    <xf numFmtId="0" fontId="41" fillId="3" borderId="68" xfId="4" applyFont="1" applyFill="1" applyBorder="1" applyAlignment="1" applyProtection="1">
      <alignment horizontal="left" vertical="top" wrapText="1"/>
      <protection locked="0"/>
    </xf>
    <xf numFmtId="0" fontId="34" fillId="16" borderId="0" xfId="0" applyFont="1" applyFill="1" applyAlignment="1" applyProtection="1"/>
    <xf numFmtId="0" fontId="5" fillId="0" borderId="0" xfId="0" applyFont="1" applyAlignment="1" applyProtection="1">
      <alignment vertical="top" wrapText="1"/>
    </xf>
    <xf numFmtId="0" fontId="3" fillId="18" borderId="2" xfId="0" applyFont="1" applyFill="1" applyBorder="1" applyAlignment="1" applyProtection="1">
      <alignment horizontal="left" vertical="top" wrapText="1"/>
    </xf>
    <xf numFmtId="0" fontId="3" fillId="18" borderId="3" xfId="0" applyFont="1" applyFill="1" applyBorder="1" applyAlignment="1" applyProtection="1">
      <alignment horizontal="left" vertical="top" wrapText="1"/>
    </xf>
    <xf numFmtId="0" fontId="11" fillId="18" borderId="17" xfId="3" applyFont="1" applyFill="1" applyBorder="1" applyAlignment="1" applyProtection="1">
      <alignment horizontal="center" vertical="center" wrapText="1"/>
    </xf>
    <xf numFmtId="0" fontId="11" fillId="18" borderId="48" xfId="3" applyFont="1" applyFill="1" applyBorder="1" applyAlignment="1" applyProtection="1">
      <alignment horizontal="center" vertical="center" wrapText="1"/>
    </xf>
    <xf numFmtId="0" fontId="13" fillId="19" borderId="0" xfId="3" applyFont="1" applyFill="1" applyBorder="1" applyAlignment="1" applyProtection="1">
      <alignment horizontal="center" vertical="center" wrapText="1"/>
    </xf>
    <xf numFmtId="0" fontId="13" fillId="19" borderId="37" xfId="3" applyFont="1" applyFill="1" applyBorder="1" applyAlignment="1" applyProtection="1">
      <alignment horizontal="center" vertical="center" wrapText="1"/>
    </xf>
    <xf numFmtId="0" fontId="35" fillId="3" borderId="10" xfId="3" applyFont="1" applyFill="1" applyBorder="1" applyAlignment="1" applyProtection="1">
      <alignment horizontal="center" vertical="center" wrapText="1"/>
    </xf>
    <xf numFmtId="0" fontId="35" fillId="3" borderId="47" xfId="3" applyFont="1" applyFill="1" applyBorder="1" applyAlignment="1" applyProtection="1">
      <alignment horizontal="center" vertical="center" wrapText="1"/>
    </xf>
    <xf numFmtId="0" fontId="35" fillId="3" borderId="46" xfId="3" applyFont="1" applyFill="1" applyBorder="1" applyAlignment="1" applyProtection="1">
      <alignment horizontal="center" vertical="center" wrapText="1"/>
    </xf>
    <xf numFmtId="0" fontId="35" fillId="3" borderId="8" xfId="3" applyFont="1" applyFill="1" applyBorder="1" applyAlignment="1" applyProtection="1">
      <alignment horizontal="center" vertical="center" wrapText="1"/>
    </xf>
    <xf numFmtId="0" fontId="29" fillId="19" borderId="17" xfId="3" applyFont="1" applyFill="1" applyBorder="1" applyAlignment="1" applyProtection="1">
      <alignment horizontal="center" wrapText="1"/>
    </xf>
    <xf numFmtId="0" fontId="29" fillId="19" borderId="13" xfId="3" applyFont="1" applyFill="1" applyBorder="1" applyAlignment="1" applyProtection="1">
      <alignment horizontal="center" wrapText="1"/>
    </xf>
    <xf numFmtId="0" fontId="29" fillId="19" borderId="48" xfId="3" applyFont="1" applyFill="1" applyBorder="1" applyAlignment="1" applyProtection="1">
      <alignment horizontal="center" wrapText="1"/>
    </xf>
    <xf numFmtId="0" fontId="28" fillId="16" borderId="49" xfId="3" applyFont="1" applyFill="1" applyBorder="1" applyAlignment="1" applyProtection="1">
      <alignment horizontal="center" vertical="center" wrapText="1"/>
    </xf>
    <xf numFmtId="0" fontId="28" fillId="16" borderId="22" xfId="3" applyFont="1" applyFill="1" applyBorder="1" applyAlignment="1" applyProtection="1">
      <alignment horizontal="center" vertical="center" wrapText="1"/>
    </xf>
    <xf numFmtId="0" fontId="28" fillId="16" borderId="35" xfId="3" applyFont="1" applyFill="1" applyBorder="1" applyAlignment="1" applyProtection="1">
      <alignment horizontal="center" vertical="center" wrapText="1"/>
    </xf>
    <xf numFmtId="0" fontId="31" fillId="16" borderId="55" xfId="3" applyFont="1" applyFill="1" applyBorder="1" applyAlignment="1" applyProtection="1">
      <alignment horizontal="center" vertical="center" wrapText="1"/>
    </xf>
    <xf numFmtId="0" fontId="31" fillId="16" borderId="54" xfId="3" applyFont="1" applyFill="1" applyBorder="1" applyAlignment="1" applyProtection="1">
      <alignment horizontal="center" vertical="center" wrapText="1"/>
    </xf>
    <xf numFmtId="0" fontId="31" fillId="16" borderId="53" xfId="3" applyFont="1" applyFill="1" applyBorder="1" applyAlignment="1" applyProtection="1">
      <alignment horizontal="center" vertical="center" wrapText="1"/>
    </xf>
    <xf numFmtId="0" fontId="31" fillId="16" borderId="40" xfId="3" applyFont="1" applyFill="1" applyBorder="1" applyAlignment="1" applyProtection="1">
      <alignment horizontal="center" vertical="center" wrapText="1"/>
    </xf>
    <xf numFmtId="0" fontId="31" fillId="16" borderId="26" xfId="3" applyFont="1" applyFill="1" applyBorder="1" applyAlignment="1" applyProtection="1">
      <alignment horizontal="center" vertical="center" wrapText="1"/>
    </xf>
    <xf numFmtId="0" fontId="31" fillId="16" borderId="51" xfId="3" applyFont="1" applyFill="1" applyBorder="1" applyAlignment="1" applyProtection="1">
      <alignment horizontal="center" vertical="center" wrapText="1"/>
    </xf>
    <xf numFmtId="0" fontId="31" fillId="16" borderId="29" xfId="3" applyFont="1" applyFill="1" applyBorder="1" applyAlignment="1" applyProtection="1">
      <alignment horizontal="center" vertical="center" wrapText="1"/>
    </xf>
    <xf numFmtId="0" fontId="31" fillId="16" borderId="30" xfId="3" applyFont="1" applyFill="1" applyBorder="1" applyAlignment="1" applyProtection="1">
      <alignment horizontal="center" vertical="center" wrapText="1"/>
    </xf>
    <xf numFmtId="0" fontId="31" fillId="16" borderId="50" xfId="3" applyFont="1" applyFill="1" applyBorder="1" applyAlignment="1" applyProtection="1">
      <alignment horizontal="center" vertical="center" wrapText="1"/>
    </xf>
    <xf numFmtId="0" fontId="38" fillId="3" borderId="27" xfId="3" applyFont="1" applyFill="1" applyBorder="1" applyAlignment="1" applyProtection="1">
      <alignment horizontal="left" vertical="center" wrapText="1" indent="1"/>
    </xf>
    <xf numFmtId="0" fontId="38" fillId="3" borderId="52" xfId="3" applyFont="1" applyFill="1" applyBorder="1" applyAlignment="1" applyProtection="1">
      <alignment horizontal="left" vertical="center" wrapText="1" indent="1"/>
    </xf>
    <xf numFmtId="0" fontId="38" fillId="3" borderId="43" xfId="3" applyFont="1" applyFill="1" applyBorder="1" applyAlignment="1" applyProtection="1">
      <alignment horizontal="left" vertical="center" wrapText="1" indent="1"/>
    </xf>
    <xf numFmtId="0" fontId="43" fillId="19" borderId="17" xfId="3" applyFont="1" applyFill="1" applyBorder="1" applyAlignment="1" applyProtection="1">
      <alignment horizontal="right" wrapText="1"/>
    </xf>
    <xf numFmtId="0" fontId="29" fillId="19" borderId="17" xfId="3" applyFont="1" applyFill="1" applyBorder="1" applyAlignment="1" applyProtection="1">
      <alignment vertical="center" wrapText="1"/>
    </xf>
    <xf numFmtId="0" fontId="29" fillId="19" borderId="48" xfId="3" applyFont="1" applyFill="1" applyBorder="1" applyAlignment="1" applyProtection="1">
      <alignment vertical="center" wrapText="1"/>
    </xf>
    <xf numFmtId="0" fontId="34" fillId="16" borderId="49" xfId="3" applyFont="1" applyFill="1" applyBorder="1" applyAlignment="1" applyProtection="1">
      <alignment horizontal="center" vertical="center" wrapText="1"/>
    </xf>
    <xf numFmtId="0" fontId="34" fillId="16" borderId="22" xfId="3" applyFont="1" applyFill="1" applyBorder="1" applyAlignment="1" applyProtection="1">
      <alignment horizontal="center" vertical="center" wrapText="1"/>
    </xf>
    <xf numFmtId="0" fontId="34" fillId="16" borderId="35" xfId="3" applyFont="1" applyFill="1" applyBorder="1" applyAlignment="1" applyProtection="1">
      <alignment horizontal="center" vertical="center" wrapText="1"/>
    </xf>
    <xf numFmtId="0" fontId="45" fillId="3" borderId="27" xfId="3" applyFont="1" applyFill="1" applyBorder="1" applyAlignment="1" applyProtection="1">
      <alignment horizontal="left" vertical="center" wrapText="1" indent="1"/>
    </xf>
    <xf numFmtId="0" fontId="45" fillId="3" borderId="52" xfId="3" applyFont="1" applyFill="1" applyBorder="1" applyAlignment="1" applyProtection="1">
      <alignment horizontal="left" vertical="center" wrapText="1" indent="1"/>
    </xf>
    <xf numFmtId="0" fontId="45" fillId="3" borderId="43" xfId="3" applyFont="1" applyFill="1" applyBorder="1" applyAlignment="1" applyProtection="1">
      <alignment horizontal="left" vertical="center" wrapText="1" indent="1"/>
    </xf>
    <xf numFmtId="0" fontId="39" fillId="19" borderId="17" xfId="3" applyFont="1" applyFill="1" applyBorder="1" applyAlignment="1" applyProtection="1">
      <alignment horizontal="right" wrapText="1"/>
    </xf>
    <xf numFmtId="0" fontId="29" fillId="19" borderId="17" xfId="3" applyFont="1" applyFill="1" applyBorder="1" applyAlignment="1" applyProtection="1">
      <alignment horizontal="left" wrapText="1"/>
    </xf>
    <xf numFmtId="0" fontId="29" fillId="19" borderId="48" xfId="3" applyFont="1" applyFill="1" applyBorder="1" applyAlignment="1" applyProtection="1">
      <alignment horizontal="left" wrapText="1"/>
    </xf>
    <xf numFmtId="0" fontId="11" fillId="18" borderId="0" xfId="3" applyFont="1" applyFill="1" applyBorder="1" applyAlignment="1" applyProtection="1">
      <alignment horizontal="center" wrapText="1"/>
    </xf>
    <xf numFmtId="0" fontId="11" fillId="18" borderId="0" xfId="3" applyFont="1" applyFill="1" applyBorder="1" applyAlignment="1" applyProtection="1">
      <alignment horizontal="center" vertical="center" wrapText="1"/>
    </xf>
    <xf numFmtId="0" fontId="19" fillId="18" borderId="17" xfId="3" applyFont="1" applyFill="1" applyBorder="1" applyAlignment="1" applyProtection="1">
      <alignment horizontal="center" vertical="center" wrapText="1"/>
    </xf>
    <xf numFmtId="0" fontId="19" fillId="18" borderId="0" xfId="3" applyFont="1" applyFill="1" applyBorder="1" applyAlignment="1" applyProtection="1">
      <alignment horizontal="center" vertical="center" wrapText="1"/>
    </xf>
    <xf numFmtId="0" fontId="29" fillId="19" borderId="13" xfId="3" applyFont="1" applyFill="1" applyBorder="1" applyAlignment="1" applyProtection="1">
      <alignment vertical="center" wrapText="1"/>
    </xf>
    <xf numFmtId="0" fontId="42" fillId="19" borderId="0" xfId="3" applyFont="1" applyFill="1" applyBorder="1" applyAlignment="1" applyProtection="1">
      <alignment horizontal="right" vertical="center" wrapText="1"/>
    </xf>
    <xf numFmtId="0" fontId="42" fillId="19" borderId="37" xfId="3" applyFont="1" applyFill="1" applyBorder="1" applyAlignment="1" applyProtection="1">
      <alignment horizontal="right" vertical="center" wrapText="1"/>
    </xf>
    <xf numFmtId="0" fontId="42" fillId="19" borderId="81" xfId="3" applyFont="1" applyFill="1" applyBorder="1" applyAlignment="1" applyProtection="1">
      <alignment horizontal="right" vertical="center" wrapText="1"/>
    </xf>
    <xf numFmtId="0" fontId="42" fillId="19" borderId="15" xfId="3" applyFont="1" applyFill="1" applyBorder="1" applyAlignment="1" applyProtection="1">
      <alignment horizontal="right" vertical="center" wrapText="1"/>
    </xf>
    <xf numFmtId="0" fontId="34" fillId="16" borderId="16" xfId="0" applyFont="1" applyFill="1" applyBorder="1" applyAlignment="1" applyProtection="1">
      <alignment vertical="center"/>
    </xf>
    <xf numFmtId="0" fontId="33" fillId="16" borderId="17" xfId="0" applyFont="1" applyFill="1" applyBorder="1" applyAlignment="1" applyProtection="1">
      <alignment vertical="center"/>
    </xf>
    <xf numFmtId="0" fontId="33" fillId="16" borderId="18" xfId="0" applyFont="1" applyFill="1" applyBorder="1" applyAlignment="1" applyProtection="1">
      <alignment vertical="center"/>
    </xf>
    <xf numFmtId="0" fontId="8" fillId="16" borderId="19" xfId="0" applyFont="1" applyFill="1" applyBorder="1" applyAlignment="1" applyProtection="1">
      <alignment horizontal="left" vertical="center"/>
    </xf>
    <xf numFmtId="0" fontId="46" fillId="16" borderId="0" xfId="0" applyFont="1" applyFill="1" applyAlignment="1" applyProtection="1">
      <alignment horizontal="left" vertical="center"/>
    </xf>
    <xf numFmtId="0" fontId="46" fillId="16" borderId="20" xfId="0" applyFont="1" applyFill="1" applyBorder="1" applyAlignment="1" applyProtection="1">
      <alignment horizontal="left" vertical="center"/>
    </xf>
    <xf numFmtId="0" fontId="20" fillId="11" borderId="0" xfId="6" applyFont="1" applyFill="1" applyBorder="1" applyAlignment="1">
      <alignment vertical="center" wrapText="1"/>
    </xf>
    <xf numFmtId="0" fontId="21" fillId="11" borderId="0" xfId="6" applyFont="1" applyFill="1" applyBorder="1" applyAlignment="1">
      <alignment vertical="center"/>
    </xf>
    <xf numFmtId="0" fontId="23" fillId="11" borderId="0" xfId="6" applyFont="1" applyFill="1" applyBorder="1" applyAlignment="1">
      <alignment vertical="center"/>
    </xf>
    <xf numFmtId="0" fontId="15" fillId="3" borderId="0" xfId="6" applyFill="1" applyAlignment="1">
      <alignment horizontal="left" vertical="justify"/>
    </xf>
    <xf numFmtId="0" fontId="19" fillId="10" borderId="0" xfId="6" applyFont="1" applyFill="1" applyAlignment="1">
      <alignment vertical="center" wrapText="1"/>
    </xf>
    <xf numFmtId="0" fontId="15" fillId="10" borderId="0" xfId="6" applyFill="1" applyAlignment="1">
      <alignment vertical="center"/>
    </xf>
    <xf numFmtId="0" fontId="15" fillId="3" borderId="0" xfId="6" applyFill="1" applyAlignment="1">
      <alignment vertical="center"/>
    </xf>
    <xf numFmtId="0" fontId="15" fillId="11" borderId="0" xfId="6" applyFill="1" applyBorder="1" applyAlignment="1">
      <alignment vertical="center"/>
    </xf>
    <xf numFmtId="0" fontId="15" fillId="3" borderId="0" xfId="6" applyFill="1" applyBorder="1" applyAlignment="1">
      <alignment wrapText="1"/>
    </xf>
    <xf numFmtId="0" fontId="15" fillId="3" borderId="0" xfId="6" applyFill="1" applyBorder="1" applyAlignment="1"/>
    <xf numFmtId="0" fontId="15" fillId="3" borderId="0" xfId="6" applyFill="1" applyAlignment="1"/>
    <xf numFmtId="0" fontId="15" fillId="10" borderId="0" xfId="6" applyFill="1" applyAlignment="1">
      <alignment vertical="center" wrapText="1"/>
    </xf>
    <xf numFmtId="0" fontId="19" fillId="10" borderId="0" xfId="6" applyFont="1" applyFill="1" applyAlignment="1">
      <alignment wrapText="1"/>
    </xf>
    <xf numFmtId="0" fontId="15" fillId="10" borderId="0" xfId="6" applyFill="1" applyAlignment="1">
      <alignment wrapText="1"/>
    </xf>
    <xf numFmtId="0" fontId="19" fillId="9" borderId="0" xfId="6" applyFont="1" applyFill="1" applyBorder="1" applyAlignment="1">
      <alignment vertical="center"/>
    </xf>
    <xf numFmtId="0" fontId="15" fillId="0" borderId="0" xfId="6" applyBorder="1" applyAlignment="1">
      <alignment vertical="center"/>
    </xf>
    <xf numFmtId="0" fontId="16" fillId="9" borderId="0" xfId="6" applyFont="1" applyFill="1" applyAlignment="1">
      <alignment horizontal="center" vertical="center"/>
    </xf>
    <xf numFmtId="0" fontId="16" fillId="0" borderId="0" xfId="6" applyFont="1" applyAlignment="1">
      <alignment horizontal="center" vertical="center"/>
    </xf>
    <xf numFmtId="0" fontId="17" fillId="0" borderId="0" xfId="6" applyFont="1" applyAlignment="1">
      <alignment vertical="center"/>
    </xf>
    <xf numFmtId="0" fontId="19" fillId="0" borderId="0" xfId="6" applyFont="1" applyFill="1" applyBorder="1" applyAlignment="1">
      <alignment vertical="center"/>
    </xf>
    <xf numFmtId="0" fontId="15" fillId="0" borderId="0" xfId="6" applyFill="1" applyAlignment="1">
      <alignment vertical="center"/>
    </xf>
  </cellXfs>
  <cellStyles count="7">
    <cellStyle name="Comma" xfId="1" builtinId="3"/>
    <cellStyle name="Comma 2" xfId="5"/>
    <cellStyle name="Currency" xfId="2" builtinId="4"/>
    <cellStyle name="Normal" xfId="0" builtinId="0"/>
    <cellStyle name="Normal 2" xfId="3"/>
    <cellStyle name="Normal 2 2" xfId="4"/>
    <cellStyle name="Normal 3" xfId="6"/>
  </cellStyles>
  <dxfs count="11">
    <dxf>
      <font>
        <b/>
        <i val="0"/>
        <color theme="6"/>
      </font>
    </dxf>
    <dxf>
      <font>
        <b/>
        <i val="0"/>
        <color theme="7"/>
      </font>
    </dxf>
    <dxf>
      <font>
        <b/>
        <i val="0"/>
        <color theme="5"/>
      </font>
    </dxf>
    <dxf>
      <font>
        <b/>
        <i val="0"/>
        <color theme="8"/>
      </font>
    </dxf>
    <dxf>
      <font>
        <b/>
        <i val="0"/>
        <color theme="9"/>
      </font>
    </dxf>
    <dxf>
      <font>
        <b/>
        <i val="0"/>
        <color theme="7"/>
      </font>
    </dxf>
    <dxf>
      <font>
        <b/>
        <i val="0"/>
        <color theme="5"/>
      </font>
    </dxf>
    <dxf>
      <font>
        <b/>
        <i val="0"/>
        <color theme="9"/>
      </font>
    </dxf>
    <dxf>
      <font>
        <b/>
        <i val="0"/>
        <color theme="7"/>
      </font>
    </dxf>
    <dxf>
      <font>
        <b/>
        <i val="0"/>
        <color theme="5"/>
      </font>
    </dxf>
    <dxf>
      <font>
        <b/>
        <i val="0"/>
        <color theme="9"/>
      </font>
    </dxf>
  </dxfs>
  <tableStyles count="0" defaultTableStyle="TableStyleMedium2" defaultPivotStyle="PivotStyleLight16"/>
  <colors>
    <mruColors>
      <color rgb="FF0000FF"/>
      <color rgb="FF9E7E38"/>
      <color rgb="FF9EFFFF"/>
      <color rgb="FFC0C0C0"/>
      <color rgb="FFD2D2D8"/>
      <color rgb="FFA7A8B3"/>
      <color rgb="FFCFD2D3"/>
      <color rgb="FFDFE0E1"/>
      <color rgb="FFFFF7E1"/>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40676</xdr:colOff>
      <xdr:row>6</xdr:row>
      <xdr:rowOff>869717</xdr:rowOff>
    </xdr:from>
    <xdr:to>
      <xdr:col>5</xdr:col>
      <xdr:colOff>20473</xdr:colOff>
      <xdr:row>6</xdr:row>
      <xdr:rowOff>1026983</xdr:rowOff>
    </xdr:to>
    <xdr:sp macro="" textlink="">
      <xdr:nvSpPr>
        <xdr:cNvPr id="2" name="Striped Right Arrow 34">
          <a:extLst>
            <a:ext uri="{FF2B5EF4-FFF2-40B4-BE49-F238E27FC236}">
              <a16:creationId xmlns:a16="http://schemas.microsoft.com/office/drawing/2014/main" id="{E21D8F23-D210-4F2F-B4C4-2A6C6C21F3FE}"/>
            </a:ext>
          </a:extLst>
        </xdr:cNvPr>
        <xdr:cNvSpPr/>
      </xdr:nvSpPr>
      <xdr:spPr>
        <a:xfrm>
          <a:off x="3393476" y="160314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6</xdr:row>
      <xdr:rowOff>859413</xdr:rowOff>
    </xdr:from>
    <xdr:to>
      <xdr:col>7</xdr:col>
      <xdr:colOff>28247</xdr:colOff>
      <xdr:row>6</xdr:row>
      <xdr:rowOff>1016679</xdr:rowOff>
    </xdr:to>
    <xdr:sp macro="" textlink="">
      <xdr:nvSpPr>
        <xdr:cNvPr id="3" name="Striped Right Arrow 35">
          <a:extLst>
            <a:ext uri="{FF2B5EF4-FFF2-40B4-BE49-F238E27FC236}">
              <a16:creationId xmlns:a16="http://schemas.microsoft.com/office/drawing/2014/main" id="{3AB20E87-9814-42CA-910B-605FDFFE705C}"/>
            </a:ext>
          </a:extLst>
        </xdr:cNvPr>
        <xdr:cNvSpPr/>
      </xdr:nvSpPr>
      <xdr:spPr>
        <a:xfrm>
          <a:off x="5077650" y="160236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48450</xdr:colOff>
      <xdr:row>6</xdr:row>
      <xdr:rowOff>859412</xdr:rowOff>
    </xdr:from>
    <xdr:to>
      <xdr:col>9</xdr:col>
      <xdr:colOff>28247</xdr:colOff>
      <xdr:row>6</xdr:row>
      <xdr:rowOff>1016678</xdr:rowOff>
    </xdr:to>
    <xdr:sp macro="" textlink="">
      <xdr:nvSpPr>
        <xdr:cNvPr id="4" name="Striped Right Arrow 36">
          <a:extLst>
            <a:ext uri="{FF2B5EF4-FFF2-40B4-BE49-F238E27FC236}">
              <a16:creationId xmlns:a16="http://schemas.microsoft.com/office/drawing/2014/main" id="{6DB555FB-BC29-473E-BE22-C5AFE64BCDB0}"/>
            </a:ext>
          </a:extLst>
        </xdr:cNvPr>
        <xdr:cNvSpPr/>
      </xdr:nvSpPr>
      <xdr:spPr>
        <a:xfrm>
          <a:off x="6754050" y="160236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56224</xdr:colOff>
      <xdr:row>6</xdr:row>
      <xdr:rowOff>849108</xdr:rowOff>
    </xdr:from>
    <xdr:to>
      <xdr:col>11</xdr:col>
      <xdr:colOff>36021</xdr:colOff>
      <xdr:row>6</xdr:row>
      <xdr:rowOff>1006374</xdr:rowOff>
    </xdr:to>
    <xdr:sp macro="" textlink="">
      <xdr:nvSpPr>
        <xdr:cNvPr id="5" name="Striped Right Arrow 37">
          <a:extLst>
            <a:ext uri="{FF2B5EF4-FFF2-40B4-BE49-F238E27FC236}">
              <a16:creationId xmlns:a16="http://schemas.microsoft.com/office/drawing/2014/main" id="{0CDACE26-6D90-404D-85AC-1BD3274A8942}"/>
            </a:ext>
          </a:extLst>
        </xdr:cNvPr>
        <xdr:cNvSpPr/>
      </xdr:nvSpPr>
      <xdr:spPr>
        <a:xfrm>
          <a:off x="8438224" y="160158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39923</xdr:colOff>
      <xdr:row>13</xdr:row>
      <xdr:rowOff>879911</xdr:rowOff>
    </xdr:from>
    <xdr:to>
      <xdr:col>5</xdr:col>
      <xdr:colOff>19720</xdr:colOff>
      <xdr:row>13</xdr:row>
      <xdr:rowOff>1037177</xdr:rowOff>
    </xdr:to>
    <xdr:sp macro="" textlink="">
      <xdr:nvSpPr>
        <xdr:cNvPr id="6" name="Striped Right Arrow 38">
          <a:extLst>
            <a:ext uri="{FF2B5EF4-FFF2-40B4-BE49-F238E27FC236}">
              <a16:creationId xmlns:a16="http://schemas.microsoft.com/office/drawing/2014/main" id="{1AF6A272-2BBB-4DE6-839F-8B2A5F561EE6}"/>
            </a:ext>
          </a:extLst>
        </xdr:cNvPr>
        <xdr:cNvSpPr/>
      </xdr:nvSpPr>
      <xdr:spPr>
        <a:xfrm>
          <a:off x="3392723" y="3003986"/>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47697</xdr:colOff>
      <xdr:row>13</xdr:row>
      <xdr:rowOff>869607</xdr:rowOff>
    </xdr:from>
    <xdr:to>
      <xdr:col>7</xdr:col>
      <xdr:colOff>27494</xdr:colOff>
      <xdr:row>13</xdr:row>
      <xdr:rowOff>1026873</xdr:rowOff>
    </xdr:to>
    <xdr:sp macro="" textlink="">
      <xdr:nvSpPr>
        <xdr:cNvPr id="7" name="Striped Right Arrow 39">
          <a:extLst>
            <a:ext uri="{FF2B5EF4-FFF2-40B4-BE49-F238E27FC236}">
              <a16:creationId xmlns:a16="http://schemas.microsoft.com/office/drawing/2014/main" id="{34854668-0E50-4D32-96DD-284E621306BD}"/>
            </a:ext>
          </a:extLst>
        </xdr:cNvPr>
        <xdr:cNvSpPr/>
      </xdr:nvSpPr>
      <xdr:spPr>
        <a:xfrm>
          <a:off x="5076897" y="300320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47697</xdr:colOff>
      <xdr:row>13</xdr:row>
      <xdr:rowOff>869606</xdr:rowOff>
    </xdr:from>
    <xdr:to>
      <xdr:col>9</xdr:col>
      <xdr:colOff>27494</xdr:colOff>
      <xdr:row>13</xdr:row>
      <xdr:rowOff>1026872</xdr:rowOff>
    </xdr:to>
    <xdr:sp macro="" textlink="">
      <xdr:nvSpPr>
        <xdr:cNvPr id="8" name="Striped Right Arrow 40">
          <a:extLst>
            <a:ext uri="{FF2B5EF4-FFF2-40B4-BE49-F238E27FC236}">
              <a16:creationId xmlns:a16="http://schemas.microsoft.com/office/drawing/2014/main" id="{E8135323-1B7A-4C54-95C8-89BA39166B3C}"/>
            </a:ext>
          </a:extLst>
        </xdr:cNvPr>
        <xdr:cNvSpPr/>
      </xdr:nvSpPr>
      <xdr:spPr>
        <a:xfrm>
          <a:off x="6753297" y="3003206"/>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55471</xdr:colOff>
      <xdr:row>13</xdr:row>
      <xdr:rowOff>859302</xdr:rowOff>
    </xdr:from>
    <xdr:to>
      <xdr:col>11</xdr:col>
      <xdr:colOff>35268</xdr:colOff>
      <xdr:row>13</xdr:row>
      <xdr:rowOff>1016568</xdr:rowOff>
    </xdr:to>
    <xdr:sp macro="" textlink="">
      <xdr:nvSpPr>
        <xdr:cNvPr id="9" name="Striped Right Arrow 41">
          <a:extLst>
            <a:ext uri="{FF2B5EF4-FFF2-40B4-BE49-F238E27FC236}">
              <a16:creationId xmlns:a16="http://schemas.microsoft.com/office/drawing/2014/main" id="{7A3FF2AD-E1C6-4C70-BE49-83E51D059BF9}"/>
            </a:ext>
          </a:extLst>
        </xdr:cNvPr>
        <xdr:cNvSpPr/>
      </xdr:nvSpPr>
      <xdr:spPr>
        <a:xfrm>
          <a:off x="8437471" y="300242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56223</xdr:colOff>
      <xdr:row>6</xdr:row>
      <xdr:rowOff>859303</xdr:rowOff>
    </xdr:from>
    <xdr:to>
      <xdr:col>14</xdr:col>
      <xdr:colOff>26831</xdr:colOff>
      <xdr:row>6</xdr:row>
      <xdr:rowOff>1016569</xdr:rowOff>
    </xdr:to>
    <xdr:sp macro="" textlink="">
      <xdr:nvSpPr>
        <xdr:cNvPr id="10" name="Striped Right Arrow 46">
          <a:extLst>
            <a:ext uri="{FF2B5EF4-FFF2-40B4-BE49-F238E27FC236}">
              <a16:creationId xmlns:a16="http://schemas.microsoft.com/office/drawing/2014/main" id="{903ECEBD-292E-4144-8571-D4A6638E3DF0}"/>
            </a:ext>
          </a:extLst>
        </xdr:cNvPr>
        <xdr:cNvSpPr/>
      </xdr:nvSpPr>
      <xdr:spPr>
        <a:xfrm>
          <a:off x="10114623" y="1602253"/>
          <a:ext cx="1647008"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55470</xdr:colOff>
      <xdr:row>13</xdr:row>
      <xdr:rowOff>869497</xdr:rowOff>
    </xdr:from>
    <xdr:to>
      <xdr:col>14</xdr:col>
      <xdr:colOff>26078</xdr:colOff>
      <xdr:row>13</xdr:row>
      <xdr:rowOff>1026763</xdr:rowOff>
    </xdr:to>
    <xdr:sp macro="" textlink="">
      <xdr:nvSpPr>
        <xdr:cNvPr id="11" name="Striped Right Arrow 47">
          <a:extLst>
            <a:ext uri="{FF2B5EF4-FFF2-40B4-BE49-F238E27FC236}">
              <a16:creationId xmlns:a16="http://schemas.microsoft.com/office/drawing/2014/main" id="{7DB7880B-A787-4FFB-A6CC-84E8F234093F}"/>
            </a:ext>
          </a:extLst>
        </xdr:cNvPr>
        <xdr:cNvSpPr/>
      </xdr:nvSpPr>
      <xdr:spPr>
        <a:xfrm>
          <a:off x="10113870" y="3003097"/>
          <a:ext cx="1647008"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13</xdr:row>
      <xdr:rowOff>859413</xdr:rowOff>
    </xdr:from>
    <xdr:to>
      <xdr:col>7</xdr:col>
      <xdr:colOff>28247</xdr:colOff>
      <xdr:row>13</xdr:row>
      <xdr:rowOff>1016679</xdr:rowOff>
    </xdr:to>
    <xdr:sp macro="" textlink="">
      <xdr:nvSpPr>
        <xdr:cNvPr id="13" name="Striped Right Arrow 35">
          <a:extLst>
            <a:ext uri="{FF2B5EF4-FFF2-40B4-BE49-F238E27FC236}">
              <a16:creationId xmlns:a16="http://schemas.microsoft.com/office/drawing/2014/main" id="{FEAC065E-0D2B-441A-85CC-2A4DFEE800FB}"/>
            </a:ext>
          </a:extLst>
        </xdr:cNvPr>
        <xdr:cNvSpPr/>
      </xdr:nvSpPr>
      <xdr:spPr>
        <a:xfrm>
          <a:off x="5077650" y="300253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48450</xdr:colOff>
      <xdr:row>13</xdr:row>
      <xdr:rowOff>859412</xdr:rowOff>
    </xdr:from>
    <xdr:to>
      <xdr:col>9</xdr:col>
      <xdr:colOff>28247</xdr:colOff>
      <xdr:row>13</xdr:row>
      <xdr:rowOff>1016678</xdr:rowOff>
    </xdr:to>
    <xdr:sp macro="" textlink="">
      <xdr:nvSpPr>
        <xdr:cNvPr id="14" name="Striped Right Arrow 36">
          <a:extLst>
            <a:ext uri="{FF2B5EF4-FFF2-40B4-BE49-F238E27FC236}">
              <a16:creationId xmlns:a16="http://schemas.microsoft.com/office/drawing/2014/main" id="{09990F44-FA90-4C5C-A523-5F3CB90C804F}"/>
            </a:ext>
          </a:extLst>
        </xdr:cNvPr>
        <xdr:cNvSpPr/>
      </xdr:nvSpPr>
      <xdr:spPr>
        <a:xfrm>
          <a:off x="6754050" y="300253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40676</xdr:colOff>
      <xdr:row>11</xdr:row>
      <xdr:rowOff>869717</xdr:rowOff>
    </xdr:from>
    <xdr:to>
      <xdr:col>5</xdr:col>
      <xdr:colOff>20473</xdr:colOff>
      <xdr:row>11</xdr:row>
      <xdr:rowOff>1026983</xdr:rowOff>
    </xdr:to>
    <xdr:sp macro="" textlink="">
      <xdr:nvSpPr>
        <xdr:cNvPr id="15" name="Striped Right Arrow 34">
          <a:extLst>
            <a:ext uri="{FF2B5EF4-FFF2-40B4-BE49-F238E27FC236}">
              <a16:creationId xmlns:a16="http://schemas.microsoft.com/office/drawing/2014/main" id="{B9BF90EC-4DD6-4DD5-B0B3-44E258436B96}"/>
            </a:ext>
          </a:extLst>
        </xdr:cNvPr>
        <xdr:cNvSpPr/>
      </xdr:nvSpPr>
      <xdr:spPr>
        <a:xfrm>
          <a:off x="3393476" y="260326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11</xdr:row>
      <xdr:rowOff>859413</xdr:rowOff>
    </xdr:from>
    <xdr:to>
      <xdr:col>7</xdr:col>
      <xdr:colOff>28247</xdr:colOff>
      <xdr:row>11</xdr:row>
      <xdr:rowOff>1016679</xdr:rowOff>
    </xdr:to>
    <xdr:sp macro="" textlink="">
      <xdr:nvSpPr>
        <xdr:cNvPr id="16" name="Striped Right Arrow 35">
          <a:extLst>
            <a:ext uri="{FF2B5EF4-FFF2-40B4-BE49-F238E27FC236}">
              <a16:creationId xmlns:a16="http://schemas.microsoft.com/office/drawing/2014/main" id="{DCC7E53E-4617-4399-A362-7153D4AC3319}"/>
            </a:ext>
          </a:extLst>
        </xdr:cNvPr>
        <xdr:cNvSpPr/>
      </xdr:nvSpPr>
      <xdr:spPr>
        <a:xfrm>
          <a:off x="5077650" y="260248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56224</xdr:colOff>
      <xdr:row>11</xdr:row>
      <xdr:rowOff>849108</xdr:rowOff>
    </xdr:from>
    <xdr:to>
      <xdr:col>11</xdr:col>
      <xdr:colOff>36021</xdr:colOff>
      <xdr:row>11</xdr:row>
      <xdr:rowOff>1006374</xdr:rowOff>
    </xdr:to>
    <xdr:sp macro="" textlink="">
      <xdr:nvSpPr>
        <xdr:cNvPr id="17" name="Striped Right Arrow 37">
          <a:extLst>
            <a:ext uri="{FF2B5EF4-FFF2-40B4-BE49-F238E27FC236}">
              <a16:creationId xmlns:a16="http://schemas.microsoft.com/office/drawing/2014/main" id="{904821B8-F100-4EB2-BCE6-D014A9772A3E}"/>
            </a:ext>
          </a:extLst>
        </xdr:cNvPr>
        <xdr:cNvSpPr/>
      </xdr:nvSpPr>
      <xdr:spPr>
        <a:xfrm>
          <a:off x="8438224" y="260170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56223</xdr:colOff>
      <xdr:row>11</xdr:row>
      <xdr:rowOff>859303</xdr:rowOff>
    </xdr:from>
    <xdr:to>
      <xdr:col>14</xdr:col>
      <xdr:colOff>26831</xdr:colOff>
      <xdr:row>11</xdr:row>
      <xdr:rowOff>1016569</xdr:rowOff>
    </xdr:to>
    <xdr:sp macro="" textlink="">
      <xdr:nvSpPr>
        <xdr:cNvPr id="18" name="Striped Right Arrow 46">
          <a:extLst>
            <a:ext uri="{FF2B5EF4-FFF2-40B4-BE49-F238E27FC236}">
              <a16:creationId xmlns:a16="http://schemas.microsoft.com/office/drawing/2014/main" id="{E804A5FF-5001-41A3-8A1E-43A6705C4E5B}"/>
            </a:ext>
          </a:extLst>
        </xdr:cNvPr>
        <xdr:cNvSpPr/>
      </xdr:nvSpPr>
      <xdr:spPr>
        <a:xfrm>
          <a:off x="10114623" y="2602378"/>
          <a:ext cx="1647008"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7</xdr:row>
      <xdr:rowOff>0</xdr:rowOff>
    </xdr:from>
    <xdr:to>
      <xdr:col>4</xdr:col>
      <xdr:colOff>208397</xdr:colOff>
      <xdr:row>7</xdr:row>
      <xdr:rowOff>157266</xdr:rowOff>
    </xdr:to>
    <xdr:sp macro="" textlink="">
      <xdr:nvSpPr>
        <xdr:cNvPr id="19" name="Striped Right Arrow 42">
          <a:extLst>
            <a:ext uri="{FF2B5EF4-FFF2-40B4-BE49-F238E27FC236}">
              <a16:creationId xmlns:a16="http://schemas.microsoft.com/office/drawing/2014/main" id="{847EF427-3D65-4CFB-B4F0-6545825B1C68}"/>
            </a:ext>
          </a:extLst>
        </xdr:cNvPr>
        <xdr:cNvSpPr/>
      </xdr:nvSpPr>
      <xdr:spPr>
        <a:xfrm>
          <a:off x="33528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7</xdr:row>
      <xdr:rowOff>0</xdr:rowOff>
    </xdr:from>
    <xdr:to>
      <xdr:col>6</xdr:col>
      <xdr:colOff>208397</xdr:colOff>
      <xdr:row>7</xdr:row>
      <xdr:rowOff>157266</xdr:rowOff>
    </xdr:to>
    <xdr:sp macro="" textlink="">
      <xdr:nvSpPr>
        <xdr:cNvPr id="20" name="Striped Right Arrow 42">
          <a:extLst>
            <a:ext uri="{FF2B5EF4-FFF2-40B4-BE49-F238E27FC236}">
              <a16:creationId xmlns:a16="http://schemas.microsoft.com/office/drawing/2014/main" id="{3A4D08CF-3ED6-4A18-B3EA-97D63AEAE3D1}"/>
            </a:ext>
          </a:extLst>
        </xdr:cNvPr>
        <xdr:cNvSpPr/>
      </xdr:nvSpPr>
      <xdr:spPr>
        <a:xfrm>
          <a:off x="50292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7</xdr:row>
      <xdr:rowOff>0</xdr:rowOff>
    </xdr:from>
    <xdr:to>
      <xdr:col>8</xdr:col>
      <xdr:colOff>208397</xdr:colOff>
      <xdr:row>7</xdr:row>
      <xdr:rowOff>157266</xdr:rowOff>
    </xdr:to>
    <xdr:sp macro="" textlink="">
      <xdr:nvSpPr>
        <xdr:cNvPr id="21" name="Striped Right Arrow 42">
          <a:extLst>
            <a:ext uri="{FF2B5EF4-FFF2-40B4-BE49-F238E27FC236}">
              <a16:creationId xmlns:a16="http://schemas.microsoft.com/office/drawing/2014/main" id="{5F8717B8-4101-4B1D-876F-6601B880CE3B}"/>
            </a:ext>
          </a:extLst>
        </xdr:cNvPr>
        <xdr:cNvSpPr/>
      </xdr:nvSpPr>
      <xdr:spPr>
        <a:xfrm>
          <a:off x="67056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12</xdr:row>
      <xdr:rowOff>0</xdr:rowOff>
    </xdr:from>
    <xdr:to>
      <xdr:col>8</xdr:col>
      <xdr:colOff>208397</xdr:colOff>
      <xdr:row>12</xdr:row>
      <xdr:rowOff>157266</xdr:rowOff>
    </xdr:to>
    <xdr:sp macro="" textlink="">
      <xdr:nvSpPr>
        <xdr:cNvPr id="22" name="Striped Right Arrow 42">
          <a:extLst>
            <a:ext uri="{FF2B5EF4-FFF2-40B4-BE49-F238E27FC236}">
              <a16:creationId xmlns:a16="http://schemas.microsoft.com/office/drawing/2014/main" id="{A1FECB32-BD8B-4183-AAFC-596D7F40F941}"/>
            </a:ext>
          </a:extLst>
        </xdr:cNvPr>
        <xdr:cNvSpPr/>
      </xdr:nvSpPr>
      <xdr:spPr>
        <a:xfrm>
          <a:off x="6705600" y="260032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11</xdr:row>
      <xdr:rowOff>0</xdr:rowOff>
    </xdr:from>
    <xdr:to>
      <xdr:col>10</xdr:col>
      <xdr:colOff>208397</xdr:colOff>
      <xdr:row>11</xdr:row>
      <xdr:rowOff>157266</xdr:rowOff>
    </xdr:to>
    <xdr:sp macro="" textlink="">
      <xdr:nvSpPr>
        <xdr:cNvPr id="23" name="Striped Right Arrow 42">
          <a:extLst>
            <a:ext uri="{FF2B5EF4-FFF2-40B4-BE49-F238E27FC236}">
              <a16:creationId xmlns:a16="http://schemas.microsoft.com/office/drawing/2014/main" id="{5538B295-2E4F-47BD-98E5-AF5B5E216F30}"/>
            </a:ext>
          </a:extLst>
        </xdr:cNvPr>
        <xdr:cNvSpPr/>
      </xdr:nvSpPr>
      <xdr:spPr>
        <a:xfrm>
          <a:off x="8382000" y="24003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12</xdr:row>
      <xdr:rowOff>0</xdr:rowOff>
    </xdr:from>
    <xdr:to>
      <xdr:col>10</xdr:col>
      <xdr:colOff>208397</xdr:colOff>
      <xdr:row>12</xdr:row>
      <xdr:rowOff>157266</xdr:rowOff>
    </xdr:to>
    <xdr:sp macro="" textlink="">
      <xdr:nvSpPr>
        <xdr:cNvPr id="24" name="Striped Right Arrow 42">
          <a:extLst>
            <a:ext uri="{FF2B5EF4-FFF2-40B4-BE49-F238E27FC236}">
              <a16:creationId xmlns:a16="http://schemas.microsoft.com/office/drawing/2014/main" id="{50E6A27C-F416-4041-B463-8FC858D6EEF2}"/>
            </a:ext>
          </a:extLst>
        </xdr:cNvPr>
        <xdr:cNvSpPr/>
      </xdr:nvSpPr>
      <xdr:spPr>
        <a:xfrm>
          <a:off x="8382000" y="260032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13</xdr:row>
      <xdr:rowOff>0</xdr:rowOff>
    </xdr:from>
    <xdr:to>
      <xdr:col>10</xdr:col>
      <xdr:colOff>208397</xdr:colOff>
      <xdr:row>13</xdr:row>
      <xdr:rowOff>157266</xdr:rowOff>
    </xdr:to>
    <xdr:sp macro="" textlink="">
      <xdr:nvSpPr>
        <xdr:cNvPr id="25" name="Striped Right Arrow 42">
          <a:extLst>
            <a:ext uri="{FF2B5EF4-FFF2-40B4-BE49-F238E27FC236}">
              <a16:creationId xmlns:a16="http://schemas.microsoft.com/office/drawing/2014/main" id="{EA833926-483B-49D5-BF27-F1E6EFE7F165}"/>
            </a:ext>
          </a:extLst>
        </xdr:cNvPr>
        <xdr:cNvSpPr/>
      </xdr:nvSpPr>
      <xdr:spPr>
        <a:xfrm>
          <a:off x="8382000" y="28003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6</xdr:row>
      <xdr:rowOff>0</xdr:rowOff>
    </xdr:from>
    <xdr:to>
      <xdr:col>10</xdr:col>
      <xdr:colOff>208397</xdr:colOff>
      <xdr:row>6</xdr:row>
      <xdr:rowOff>157266</xdr:rowOff>
    </xdr:to>
    <xdr:sp macro="" textlink="">
      <xdr:nvSpPr>
        <xdr:cNvPr id="26" name="Striped Right Arrow 42">
          <a:extLst>
            <a:ext uri="{FF2B5EF4-FFF2-40B4-BE49-F238E27FC236}">
              <a16:creationId xmlns:a16="http://schemas.microsoft.com/office/drawing/2014/main" id="{B1C67F86-F789-4570-8E63-6D51249D23DF}"/>
            </a:ext>
          </a:extLst>
        </xdr:cNvPr>
        <xdr:cNvSpPr/>
      </xdr:nvSpPr>
      <xdr:spPr>
        <a:xfrm>
          <a:off x="8382000" y="140017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7</xdr:row>
      <xdr:rowOff>0</xdr:rowOff>
    </xdr:from>
    <xdr:to>
      <xdr:col>10</xdr:col>
      <xdr:colOff>208397</xdr:colOff>
      <xdr:row>7</xdr:row>
      <xdr:rowOff>157266</xdr:rowOff>
    </xdr:to>
    <xdr:sp macro="" textlink="">
      <xdr:nvSpPr>
        <xdr:cNvPr id="27" name="Striped Right Arrow 42">
          <a:extLst>
            <a:ext uri="{FF2B5EF4-FFF2-40B4-BE49-F238E27FC236}">
              <a16:creationId xmlns:a16="http://schemas.microsoft.com/office/drawing/2014/main" id="{6E45F31A-ED90-49F3-809F-18E42567A6A5}"/>
            </a:ext>
          </a:extLst>
        </xdr:cNvPr>
        <xdr:cNvSpPr/>
      </xdr:nvSpPr>
      <xdr:spPr>
        <a:xfrm>
          <a:off x="83820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8</xdr:row>
      <xdr:rowOff>0</xdr:rowOff>
    </xdr:from>
    <xdr:to>
      <xdr:col>10</xdr:col>
      <xdr:colOff>208397</xdr:colOff>
      <xdr:row>8</xdr:row>
      <xdr:rowOff>157266</xdr:rowOff>
    </xdr:to>
    <xdr:sp macro="" textlink="">
      <xdr:nvSpPr>
        <xdr:cNvPr id="28" name="Striped Right Arrow 42">
          <a:extLst>
            <a:ext uri="{FF2B5EF4-FFF2-40B4-BE49-F238E27FC236}">
              <a16:creationId xmlns:a16="http://schemas.microsoft.com/office/drawing/2014/main" id="{879ECBCB-7905-4917-8AF5-EA55D9A24B49}"/>
            </a:ext>
          </a:extLst>
        </xdr:cNvPr>
        <xdr:cNvSpPr/>
      </xdr:nvSpPr>
      <xdr:spPr>
        <a:xfrm>
          <a:off x="8382000" y="180022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59704</xdr:colOff>
      <xdr:row>18</xdr:row>
      <xdr:rowOff>863535</xdr:rowOff>
    </xdr:from>
    <xdr:to>
      <xdr:col>11</xdr:col>
      <xdr:colOff>39501</xdr:colOff>
      <xdr:row>18</xdr:row>
      <xdr:rowOff>1020801</xdr:rowOff>
    </xdr:to>
    <xdr:sp macro="" textlink="">
      <xdr:nvSpPr>
        <xdr:cNvPr id="29" name="Striped Right Arrow 45">
          <a:extLst>
            <a:ext uri="{FF2B5EF4-FFF2-40B4-BE49-F238E27FC236}">
              <a16:creationId xmlns:a16="http://schemas.microsoft.com/office/drawing/2014/main" id="{F3174C79-394B-421F-934B-A65999794546}"/>
            </a:ext>
          </a:extLst>
        </xdr:cNvPr>
        <xdr:cNvSpPr/>
      </xdr:nvSpPr>
      <xdr:spPr>
        <a:xfrm>
          <a:off x="8441704" y="3997260"/>
          <a:ext cx="817997" cy="48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17</xdr:row>
      <xdr:rowOff>0</xdr:rowOff>
    </xdr:from>
    <xdr:to>
      <xdr:col>8</xdr:col>
      <xdr:colOff>208397</xdr:colOff>
      <xdr:row>17</xdr:row>
      <xdr:rowOff>157266</xdr:rowOff>
    </xdr:to>
    <xdr:sp macro="" textlink="">
      <xdr:nvSpPr>
        <xdr:cNvPr id="30" name="Striped Right Arrow 29">
          <a:extLst>
            <a:ext uri="{FF2B5EF4-FFF2-40B4-BE49-F238E27FC236}">
              <a16:creationId xmlns:a16="http://schemas.microsoft.com/office/drawing/2014/main" id="{BEF4EABA-197F-4837-83D0-A3CBC063C093}"/>
            </a:ext>
          </a:extLst>
        </xdr:cNvPr>
        <xdr:cNvSpPr/>
      </xdr:nvSpPr>
      <xdr:spPr>
        <a:xfrm>
          <a:off x="6705600" y="36004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16</xdr:row>
      <xdr:rowOff>0</xdr:rowOff>
    </xdr:from>
    <xdr:to>
      <xdr:col>10</xdr:col>
      <xdr:colOff>208397</xdr:colOff>
      <xdr:row>16</xdr:row>
      <xdr:rowOff>157266</xdr:rowOff>
    </xdr:to>
    <xdr:sp macro="" textlink="">
      <xdr:nvSpPr>
        <xdr:cNvPr id="31" name="Striped Right Arrow 42">
          <a:extLst>
            <a:ext uri="{FF2B5EF4-FFF2-40B4-BE49-F238E27FC236}">
              <a16:creationId xmlns:a16="http://schemas.microsoft.com/office/drawing/2014/main" id="{F02F56CC-41F9-4BE0-847C-CE48983B93A7}"/>
            </a:ext>
          </a:extLst>
        </xdr:cNvPr>
        <xdr:cNvSpPr/>
      </xdr:nvSpPr>
      <xdr:spPr>
        <a:xfrm>
          <a:off x="8382000" y="340042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17</xdr:row>
      <xdr:rowOff>0</xdr:rowOff>
    </xdr:from>
    <xdr:to>
      <xdr:col>10</xdr:col>
      <xdr:colOff>208397</xdr:colOff>
      <xdr:row>17</xdr:row>
      <xdr:rowOff>157266</xdr:rowOff>
    </xdr:to>
    <xdr:sp macro="" textlink="">
      <xdr:nvSpPr>
        <xdr:cNvPr id="32" name="Striped Right Arrow 42">
          <a:extLst>
            <a:ext uri="{FF2B5EF4-FFF2-40B4-BE49-F238E27FC236}">
              <a16:creationId xmlns:a16="http://schemas.microsoft.com/office/drawing/2014/main" id="{CC94F130-A4F9-4B80-8252-3D38EA62538E}"/>
            </a:ext>
          </a:extLst>
        </xdr:cNvPr>
        <xdr:cNvSpPr/>
      </xdr:nvSpPr>
      <xdr:spPr>
        <a:xfrm>
          <a:off x="8382000" y="36004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18</xdr:row>
      <xdr:rowOff>0</xdr:rowOff>
    </xdr:from>
    <xdr:to>
      <xdr:col>10</xdr:col>
      <xdr:colOff>208397</xdr:colOff>
      <xdr:row>18</xdr:row>
      <xdr:rowOff>157266</xdr:rowOff>
    </xdr:to>
    <xdr:sp macro="" textlink="">
      <xdr:nvSpPr>
        <xdr:cNvPr id="33" name="Striped Right Arrow 42">
          <a:extLst>
            <a:ext uri="{FF2B5EF4-FFF2-40B4-BE49-F238E27FC236}">
              <a16:creationId xmlns:a16="http://schemas.microsoft.com/office/drawing/2014/main" id="{F17C9F9B-84DC-4434-ACDC-08E4240C190C}"/>
            </a:ext>
          </a:extLst>
        </xdr:cNvPr>
        <xdr:cNvSpPr/>
      </xdr:nvSpPr>
      <xdr:spPr>
        <a:xfrm>
          <a:off x="8382000" y="380047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18</xdr:col>
      <xdr:colOff>885264</xdr:colOff>
      <xdr:row>1</xdr:row>
      <xdr:rowOff>212911</xdr:rowOff>
    </xdr:from>
    <xdr:ext cx="1516856" cy="697706"/>
    <xdr:pic>
      <xdr:nvPicPr>
        <xdr:cNvPr id="34" name="Picture 33">
          <a:extLst>
            <a:ext uri="{FF2B5EF4-FFF2-40B4-BE49-F238E27FC236}">
              <a16:creationId xmlns:a16="http://schemas.microsoft.com/office/drawing/2014/main" id="{004E0A31-C4E7-44E1-82B5-68E7BF48058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355235" y="571499"/>
          <a:ext cx="1516856" cy="69770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4</xdr:col>
      <xdr:colOff>40676</xdr:colOff>
      <xdr:row>7</xdr:row>
      <xdr:rowOff>869717</xdr:rowOff>
    </xdr:from>
    <xdr:to>
      <xdr:col>5</xdr:col>
      <xdr:colOff>20473</xdr:colOff>
      <xdr:row>7</xdr:row>
      <xdr:rowOff>1026983</xdr:rowOff>
    </xdr:to>
    <xdr:sp macro="" textlink="">
      <xdr:nvSpPr>
        <xdr:cNvPr id="2" name="Striped Right Arrow 34">
          <a:extLst>
            <a:ext uri="{FF2B5EF4-FFF2-40B4-BE49-F238E27FC236}">
              <a16:creationId xmlns:a16="http://schemas.microsoft.com/office/drawing/2014/main" id="{2570C8FE-C14F-4908-8580-A1844E86EABE}"/>
            </a:ext>
          </a:extLst>
        </xdr:cNvPr>
        <xdr:cNvSpPr/>
      </xdr:nvSpPr>
      <xdr:spPr>
        <a:xfrm>
          <a:off x="3393476" y="160314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7</xdr:row>
      <xdr:rowOff>859413</xdr:rowOff>
    </xdr:from>
    <xdr:to>
      <xdr:col>7</xdr:col>
      <xdr:colOff>28247</xdr:colOff>
      <xdr:row>7</xdr:row>
      <xdr:rowOff>1016679</xdr:rowOff>
    </xdr:to>
    <xdr:sp macro="" textlink="">
      <xdr:nvSpPr>
        <xdr:cNvPr id="3" name="Striped Right Arrow 35">
          <a:extLst>
            <a:ext uri="{FF2B5EF4-FFF2-40B4-BE49-F238E27FC236}">
              <a16:creationId xmlns:a16="http://schemas.microsoft.com/office/drawing/2014/main" id="{6677B49F-8A8C-4DA4-AD8B-69BA794E67C0}"/>
            </a:ext>
          </a:extLst>
        </xdr:cNvPr>
        <xdr:cNvSpPr/>
      </xdr:nvSpPr>
      <xdr:spPr>
        <a:xfrm>
          <a:off x="5077650" y="160236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48450</xdr:colOff>
      <xdr:row>7</xdr:row>
      <xdr:rowOff>859412</xdr:rowOff>
    </xdr:from>
    <xdr:to>
      <xdr:col>9</xdr:col>
      <xdr:colOff>28247</xdr:colOff>
      <xdr:row>7</xdr:row>
      <xdr:rowOff>1016678</xdr:rowOff>
    </xdr:to>
    <xdr:sp macro="" textlink="">
      <xdr:nvSpPr>
        <xdr:cNvPr id="4" name="Striped Right Arrow 36">
          <a:extLst>
            <a:ext uri="{FF2B5EF4-FFF2-40B4-BE49-F238E27FC236}">
              <a16:creationId xmlns:a16="http://schemas.microsoft.com/office/drawing/2014/main" id="{4A763FA0-1E79-48B0-BDB7-91818F85401F}"/>
            </a:ext>
          </a:extLst>
        </xdr:cNvPr>
        <xdr:cNvSpPr/>
      </xdr:nvSpPr>
      <xdr:spPr>
        <a:xfrm>
          <a:off x="6754050" y="160236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56224</xdr:colOff>
      <xdr:row>7</xdr:row>
      <xdr:rowOff>849108</xdr:rowOff>
    </xdr:from>
    <xdr:to>
      <xdr:col>11</xdr:col>
      <xdr:colOff>36021</xdr:colOff>
      <xdr:row>7</xdr:row>
      <xdr:rowOff>1006374</xdr:rowOff>
    </xdr:to>
    <xdr:sp macro="" textlink="">
      <xdr:nvSpPr>
        <xdr:cNvPr id="5" name="Striped Right Arrow 37">
          <a:extLst>
            <a:ext uri="{FF2B5EF4-FFF2-40B4-BE49-F238E27FC236}">
              <a16:creationId xmlns:a16="http://schemas.microsoft.com/office/drawing/2014/main" id="{43ECFF30-F2A7-4B70-BD07-CCA8D9B00A18}"/>
            </a:ext>
          </a:extLst>
        </xdr:cNvPr>
        <xdr:cNvSpPr/>
      </xdr:nvSpPr>
      <xdr:spPr>
        <a:xfrm>
          <a:off x="8438224" y="160158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39923</xdr:colOff>
      <xdr:row>14</xdr:row>
      <xdr:rowOff>879911</xdr:rowOff>
    </xdr:from>
    <xdr:to>
      <xdr:col>5</xdr:col>
      <xdr:colOff>19720</xdr:colOff>
      <xdr:row>14</xdr:row>
      <xdr:rowOff>1037177</xdr:rowOff>
    </xdr:to>
    <xdr:sp macro="" textlink="">
      <xdr:nvSpPr>
        <xdr:cNvPr id="6" name="Striped Right Arrow 38">
          <a:extLst>
            <a:ext uri="{FF2B5EF4-FFF2-40B4-BE49-F238E27FC236}">
              <a16:creationId xmlns:a16="http://schemas.microsoft.com/office/drawing/2014/main" id="{8C2F4DC4-FFDB-4307-A781-7061CE5E3C07}"/>
            </a:ext>
          </a:extLst>
        </xdr:cNvPr>
        <xdr:cNvSpPr/>
      </xdr:nvSpPr>
      <xdr:spPr>
        <a:xfrm>
          <a:off x="3392723" y="3003986"/>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47697</xdr:colOff>
      <xdr:row>14</xdr:row>
      <xdr:rowOff>869607</xdr:rowOff>
    </xdr:from>
    <xdr:to>
      <xdr:col>7</xdr:col>
      <xdr:colOff>27494</xdr:colOff>
      <xdr:row>14</xdr:row>
      <xdr:rowOff>1026873</xdr:rowOff>
    </xdr:to>
    <xdr:sp macro="" textlink="">
      <xdr:nvSpPr>
        <xdr:cNvPr id="7" name="Striped Right Arrow 39">
          <a:extLst>
            <a:ext uri="{FF2B5EF4-FFF2-40B4-BE49-F238E27FC236}">
              <a16:creationId xmlns:a16="http://schemas.microsoft.com/office/drawing/2014/main" id="{392EA153-1A6B-448E-A5FF-6B11D06D51D1}"/>
            </a:ext>
          </a:extLst>
        </xdr:cNvPr>
        <xdr:cNvSpPr/>
      </xdr:nvSpPr>
      <xdr:spPr>
        <a:xfrm>
          <a:off x="5076897" y="300320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47697</xdr:colOff>
      <xdr:row>14</xdr:row>
      <xdr:rowOff>869606</xdr:rowOff>
    </xdr:from>
    <xdr:to>
      <xdr:col>9</xdr:col>
      <xdr:colOff>27494</xdr:colOff>
      <xdr:row>14</xdr:row>
      <xdr:rowOff>1026872</xdr:rowOff>
    </xdr:to>
    <xdr:sp macro="" textlink="">
      <xdr:nvSpPr>
        <xdr:cNvPr id="8" name="Striped Right Arrow 40">
          <a:extLst>
            <a:ext uri="{FF2B5EF4-FFF2-40B4-BE49-F238E27FC236}">
              <a16:creationId xmlns:a16="http://schemas.microsoft.com/office/drawing/2014/main" id="{B9E8B4E2-2486-4658-AC12-8F1D7AF0A08E}"/>
            </a:ext>
          </a:extLst>
        </xdr:cNvPr>
        <xdr:cNvSpPr/>
      </xdr:nvSpPr>
      <xdr:spPr>
        <a:xfrm>
          <a:off x="6753297" y="3003206"/>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55471</xdr:colOff>
      <xdr:row>14</xdr:row>
      <xdr:rowOff>859302</xdr:rowOff>
    </xdr:from>
    <xdr:to>
      <xdr:col>11</xdr:col>
      <xdr:colOff>35268</xdr:colOff>
      <xdr:row>14</xdr:row>
      <xdr:rowOff>1016568</xdr:rowOff>
    </xdr:to>
    <xdr:sp macro="" textlink="">
      <xdr:nvSpPr>
        <xdr:cNvPr id="9" name="Striped Right Arrow 41">
          <a:extLst>
            <a:ext uri="{FF2B5EF4-FFF2-40B4-BE49-F238E27FC236}">
              <a16:creationId xmlns:a16="http://schemas.microsoft.com/office/drawing/2014/main" id="{9C6C0415-4F01-4383-8D2A-0D7882C55036}"/>
            </a:ext>
          </a:extLst>
        </xdr:cNvPr>
        <xdr:cNvSpPr/>
      </xdr:nvSpPr>
      <xdr:spPr>
        <a:xfrm>
          <a:off x="8437471" y="300242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56223</xdr:colOff>
      <xdr:row>7</xdr:row>
      <xdr:rowOff>859303</xdr:rowOff>
    </xdr:from>
    <xdr:to>
      <xdr:col>14</xdr:col>
      <xdr:colOff>26831</xdr:colOff>
      <xdr:row>7</xdr:row>
      <xdr:rowOff>1016569</xdr:rowOff>
    </xdr:to>
    <xdr:sp macro="" textlink="">
      <xdr:nvSpPr>
        <xdr:cNvPr id="10" name="Striped Right Arrow 46">
          <a:extLst>
            <a:ext uri="{FF2B5EF4-FFF2-40B4-BE49-F238E27FC236}">
              <a16:creationId xmlns:a16="http://schemas.microsoft.com/office/drawing/2014/main" id="{42A4AFF4-ED2D-4B1D-9B89-EC7C8B1196CA}"/>
            </a:ext>
          </a:extLst>
        </xdr:cNvPr>
        <xdr:cNvSpPr/>
      </xdr:nvSpPr>
      <xdr:spPr>
        <a:xfrm>
          <a:off x="10114623" y="1602253"/>
          <a:ext cx="1647008"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55470</xdr:colOff>
      <xdr:row>14</xdr:row>
      <xdr:rowOff>869497</xdr:rowOff>
    </xdr:from>
    <xdr:to>
      <xdr:col>14</xdr:col>
      <xdr:colOff>26078</xdr:colOff>
      <xdr:row>14</xdr:row>
      <xdr:rowOff>1026763</xdr:rowOff>
    </xdr:to>
    <xdr:sp macro="" textlink="">
      <xdr:nvSpPr>
        <xdr:cNvPr id="11" name="Striped Right Arrow 47">
          <a:extLst>
            <a:ext uri="{FF2B5EF4-FFF2-40B4-BE49-F238E27FC236}">
              <a16:creationId xmlns:a16="http://schemas.microsoft.com/office/drawing/2014/main" id="{590C33AF-EB61-4224-A63D-A903C4F385AB}"/>
            </a:ext>
          </a:extLst>
        </xdr:cNvPr>
        <xdr:cNvSpPr/>
      </xdr:nvSpPr>
      <xdr:spPr>
        <a:xfrm>
          <a:off x="10113870" y="3003097"/>
          <a:ext cx="1647008"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18</xdr:col>
      <xdr:colOff>1031081</xdr:colOff>
      <xdr:row>2</xdr:row>
      <xdr:rowOff>219075</xdr:rowOff>
    </xdr:from>
    <xdr:ext cx="1516856" cy="697706"/>
    <xdr:pic>
      <xdr:nvPicPr>
        <xdr:cNvPr id="12" name="Picture 11">
          <a:extLst>
            <a:ext uri="{FF2B5EF4-FFF2-40B4-BE49-F238E27FC236}">
              <a16:creationId xmlns:a16="http://schemas.microsoft.com/office/drawing/2014/main" id="{004E0A31-C4E7-44E1-82B5-68E7BF48058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461831" y="766763"/>
          <a:ext cx="1516856" cy="697706"/>
        </a:xfrm>
        <a:prstGeom prst="rect">
          <a:avLst/>
        </a:prstGeom>
      </xdr:spPr>
    </xdr:pic>
    <xdr:clientData/>
  </xdr:oneCellAnchor>
  <xdr:twoCellAnchor>
    <xdr:from>
      <xdr:col>6</xdr:col>
      <xdr:colOff>48450</xdr:colOff>
      <xdr:row>14</xdr:row>
      <xdr:rowOff>859413</xdr:rowOff>
    </xdr:from>
    <xdr:to>
      <xdr:col>7</xdr:col>
      <xdr:colOff>28247</xdr:colOff>
      <xdr:row>14</xdr:row>
      <xdr:rowOff>1016679</xdr:rowOff>
    </xdr:to>
    <xdr:sp macro="" textlink="">
      <xdr:nvSpPr>
        <xdr:cNvPr id="13" name="Striped Right Arrow 35">
          <a:extLst>
            <a:ext uri="{FF2B5EF4-FFF2-40B4-BE49-F238E27FC236}">
              <a16:creationId xmlns:a16="http://schemas.microsoft.com/office/drawing/2014/main" id="{FE191765-70A7-4F78-94CF-E55CB38117B8}"/>
            </a:ext>
          </a:extLst>
        </xdr:cNvPr>
        <xdr:cNvSpPr/>
      </xdr:nvSpPr>
      <xdr:spPr>
        <a:xfrm>
          <a:off x="5077650" y="300253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48450</xdr:colOff>
      <xdr:row>14</xdr:row>
      <xdr:rowOff>859412</xdr:rowOff>
    </xdr:from>
    <xdr:to>
      <xdr:col>9</xdr:col>
      <xdr:colOff>28247</xdr:colOff>
      <xdr:row>14</xdr:row>
      <xdr:rowOff>1016678</xdr:rowOff>
    </xdr:to>
    <xdr:sp macro="" textlink="">
      <xdr:nvSpPr>
        <xdr:cNvPr id="14" name="Striped Right Arrow 36">
          <a:extLst>
            <a:ext uri="{FF2B5EF4-FFF2-40B4-BE49-F238E27FC236}">
              <a16:creationId xmlns:a16="http://schemas.microsoft.com/office/drawing/2014/main" id="{481E47FD-5FB4-4417-8788-333BE48E0C01}"/>
            </a:ext>
          </a:extLst>
        </xdr:cNvPr>
        <xdr:cNvSpPr/>
      </xdr:nvSpPr>
      <xdr:spPr>
        <a:xfrm>
          <a:off x="6754050" y="300253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40676</xdr:colOff>
      <xdr:row>12</xdr:row>
      <xdr:rowOff>869717</xdr:rowOff>
    </xdr:from>
    <xdr:to>
      <xdr:col>5</xdr:col>
      <xdr:colOff>20473</xdr:colOff>
      <xdr:row>12</xdr:row>
      <xdr:rowOff>1026983</xdr:rowOff>
    </xdr:to>
    <xdr:sp macro="" textlink="">
      <xdr:nvSpPr>
        <xdr:cNvPr id="15" name="Striped Right Arrow 34">
          <a:extLst>
            <a:ext uri="{FF2B5EF4-FFF2-40B4-BE49-F238E27FC236}">
              <a16:creationId xmlns:a16="http://schemas.microsoft.com/office/drawing/2014/main" id="{CA66938F-F70D-4016-BD0A-37392854B0EA}"/>
            </a:ext>
          </a:extLst>
        </xdr:cNvPr>
        <xdr:cNvSpPr/>
      </xdr:nvSpPr>
      <xdr:spPr>
        <a:xfrm>
          <a:off x="3393476" y="260326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12</xdr:row>
      <xdr:rowOff>859413</xdr:rowOff>
    </xdr:from>
    <xdr:to>
      <xdr:col>7</xdr:col>
      <xdr:colOff>28247</xdr:colOff>
      <xdr:row>12</xdr:row>
      <xdr:rowOff>1016679</xdr:rowOff>
    </xdr:to>
    <xdr:sp macro="" textlink="">
      <xdr:nvSpPr>
        <xdr:cNvPr id="16" name="Striped Right Arrow 35">
          <a:extLst>
            <a:ext uri="{FF2B5EF4-FFF2-40B4-BE49-F238E27FC236}">
              <a16:creationId xmlns:a16="http://schemas.microsoft.com/office/drawing/2014/main" id="{F4041F4B-AC5A-47CC-85FE-61B709E11247}"/>
            </a:ext>
          </a:extLst>
        </xdr:cNvPr>
        <xdr:cNvSpPr/>
      </xdr:nvSpPr>
      <xdr:spPr>
        <a:xfrm>
          <a:off x="5077650" y="260248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56224</xdr:colOff>
      <xdr:row>12</xdr:row>
      <xdr:rowOff>849108</xdr:rowOff>
    </xdr:from>
    <xdr:to>
      <xdr:col>11</xdr:col>
      <xdr:colOff>36021</xdr:colOff>
      <xdr:row>12</xdr:row>
      <xdr:rowOff>1006374</xdr:rowOff>
    </xdr:to>
    <xdr:sp macro="" textlink="">
      <xdr:nvSpPr>
        <xdr:cNvPr id="17" name="Striped Right Arrow 37">
          <a:extLst>
            <a:ext uri="{FF2B5EF4-FFF2-40B4-BE49-F238E27FC236}">
              <a16:creationId xmlns:a16="http://schemas.microsoft.com/office/drawing/2014/main" id="{0396CFC9-D663-4103-8013-1B70745B8364}"/>
            </a:ext>
          </a:extLst>
        </xdr:cNvPr>
        <xdr:cNvSpPr/>
      </xdr:nvSpPr>
      <xdr:spPr>
        <a:xfrm>
          <a:off x="8438224" y="260170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56223</xdr:colOff>
      <xdr:row>12</xdr:row>
      <xdr:rowOff>859303</xdr:rowOff>
    </xdr:from>
    <xdr:to>
      <xdr:col>14</xdr:col>
      <xdr:colOff>26831</xdr:colOff>
      <xdr:row>12</xdr:row>
      <xdr:rowOff>1016569</xdr:rowOff>
    </xdr:to>
    <xdr:sp macro="" textlink="">
      <xdr:nvSpPr>
        <xdr:cNvPr id="18" name="Striped Right Arrow 46">
          <a:extLst>
            <a:ext uri="{FF2B5EF4-FFF2-40B4-BE49-F238E27FC236}">
              <a16:creationId xmlns:a16="http://schemas.microsoft.com/office/drawing/2014/main" id="{F7FB64E1-15E8-45FB-A43A-A9718A02E7EB}"/>
            </a:ext>
          </a:extLst>
        </xdr:cNvPr>
        <xdr:cNvSpPr/>
      </xdr:nvSpPr>
      <xdr:spPr>
        <a:xfrm>
          <a:off x="10114623" y="2602378"/>
          <a:ext cx="1647008"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8</xdr:row>
      <xdr:rowOff>0</xdr:rowOff>
    </xdr:from>
    <xdr:to>
      <xdr:col>4</xdr:col>
      <xdr:colOff>208397</xdr:colOff>
      <xdr:row>8</xdr:row>
      <xdr:rowOff>157266</xdr:rowOff>
    </xdr:to>
    <xdr:sp macro="" textlink="">
      <xdr:nvSpPr>
        <xdr:cNvPr id="19" name="Striped Right Arrow 42">
          <a:extLst>
            <a:ext uri="{FF2B5EF4-FFF2-40B4-BE49-F238E27FC236}">
              <a16:creationId xmlns:a16="http://schemas.microsoft.com/office/drawing/2014/main" id="{36098A42-3942-47FD-9282-C3353CDB63B4}"/>
            </a:ext>
          </a:extLst>
        </xdr:cNvPr>
        <xdr:cNvSpPr/>
      </xdr:nvSpPr>
      <xdr:spPr>
        <a:xfrm>
          <a:off x="33528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8</xdr:row>
      <xdr:rowOff>0</xdr:rowOff>
    </xdr:from>
    <xdr:to>
      <xdr:col>6</xdr:col>
      <xdr:colOff>208397</xdr:colOff>
      <xdr:row>8</xdr:row>
      <xdr:rowOff>157266</xdr:rowOff>
    </xdr:to>
    <xdr:sp macro="" textlink="">
      <xdr:nvSpPr>
        <xdr:cNvPr id="20" name="Striped Right Arrow 42">
          <a:extLst>
            <a:ext uri="{FF2B5EF4-FFF2-40B4-BE49-F238E27FC236}">
              <a16:creationId xmlns:a16="http://schemas.microsoft.com/office/drawing/2014/main" id="{8DB464F1-2416-44FB-855B-5CCF918202EE}"/>
            </a:ext>
          </a:extLst>
        </xdr:cNvPr>
        <xdr:cNvSpPr/>
      </xdr:nvSpPr>
      <xdr:spPr>
        <a:xfrm>
          <a:off x="50292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8</xdr:row>
      <xdr:rowOff>0</xdr:rowOff>
    </xdr:from>
    <xdr:to>
      <xdr:col>8</xdr:col>
      <xdr:colOff>208397</xdr:colOff>
      <xdr:row>8</xdr:row>
      <xdr:rowOff>157266</xdr:rowOff>
    </xdr:to>
    <xdr:sp macro="" textlink="">
      <xdr:nvSpPr>
        <xdr:cNvPr id="21" name="Striped Right Arrow 42">
          <a:extLst>
            <a:ext uri="{FF2B5EF4-FFF2-40B4-BE49-F238E27FC236}">
              <a16:creationId xmlns:a16="http://schemas.microsoft.com/office/drawing/2014/main" id="{2350943B-9353-438C-B93D-428CDDEFFF1A}"/>
            </a:ext>
          </a:extLst>
        </xdr:cNvPr>
        <xdr:cNvSpPr/>
      </xdr:nvSpPr>
      <xdr:spPr>
        <a:xfrm>
          <a:off x="67056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13</xdr:row>
      <xdr:rowOff>0</xdr:rowOff>
    </xdr:from>
    <xdr:to>
      <xdr:col>8</xdr:col>
      <xdr:colOff>208397</xdr:colOff>
      <xdr:row>13</xdr:row>
      <xdr:rowOff>157266</xdr:rowOff>
    </xdr:to>
    <xdr:sp macro="" textlink="">
      <xdr:nvSpPr>
        <xdr:cNvPr id="22" name="Striped Right Arrow 42">
          <a:extLst>
            <a:ext uri="{FF2B5EF4-FFF2-40B4-BE49-F238E27FC236}">
              <a16:creationId xmlns:a16="http://schemas.microsoft.com/office/drawing/2014/main" id="{86EAF150-D319-4F92-8522-95E376CB1A98}"/>
            </a:ext>
          </a:extLst>
        </xdr:cNvPr>
        <xdr:cNvSpPr/>
      </xdr:nvSpPr>
      <xdr:spPr>
        <a:xfrm>
          <a:off x="6705600" y="260032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12</xdr:row>
      <xdr:rowOff>0</xdr:rowOff>
    </xdr:from>
    <xdr:to>
      <xdr:col>10</xdr:col>
      <xdr:colOff>208397</xdr:colOff>
      <xdr:row>12</xdr:row>
      <xdr:rowOff>157266</xdr:rowOff>
    </xdr:to>
    <xdr:sp macro="" textlink="">
      <xdr:nvSpPr>
        <xdr:cNvPr id="23" name="Striped Right Arrow 42">
          <a:extLst>
            <a:ext uri="{FF2B5EF4-FFF2-40B4-BE49-F238E27FC236}">
              <a16:creationId xmlns:a16="http://schemas.microsoft.com/office/drawing/2014/main" id="{C07763E2-DAD1-4C3E-8F34-9998FC8CE443}"/>
            </a:ext>
          </a:extLst>
        </xdr:cNvPr>
        <xdr:cNvSpPr/>
      </xdr:nvSpPr>
      <xdr:spPr>
        <a:xfrm>
          <a:off x="8382000" y="24003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13</xdr:row>
      <xdr:rowOff>0</xdr:rowOff>
    </xdr:from>
    <xdr:to>
      <xdr:col>10</xdr:col>
      <xdr:colOff>208397</xdr:colOff>
      <xdr:row>13</xdr:row>
      <xdr:rowOff>157266</xdr:rowOff>
    </xdr:to>
    <xdr:sp macro="" textlink="">
      <xdr:nvSpPr>
        <xdr:cNvPr id="24" name="Striped Right Arrow 42">
          <a:extLst>
            <a:ext uri="{FF2B5EF4-FFF2-40B4-BE49-F238E27FC236}">
              <a16:creationId xmlns:a16="http://schemas.microsoft.com/office/drawing/2014/main" id="{34F754A0-3B33-44A4-B14C-6EE696C5DB7C}"/>
            </a:ext>
          </a:extLst>
        </xdr:cNvPr>
        <xdr:cNvSpPr/>
      </xdr:nvSpPr>
      <xdr:spPr>
        <a:xfrm>
          <a:off x="8382000" y="260032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14</xdr:row>
      <xdr:rowOff>0</xdr:rowOff>
    </xdr:from>
    <xdr:to>
      <xdr:col>10</xdr:col>
      <xdr:colOff>208397</xdr:colOff>
      <xdr:row>14</xdr:row>
      <xdr:rowOff>157266</xdr:rowOff>
    </xdr:to>
    <xdr:sp macro="" textlink="">
      <xdr:nvSpPr>
        <xdr:cNvPr id="25" name="Striped Right Arrow 42">
          <a:extLst>
            <a:ext uri="{FF2B5EF4-FFF2-40B4-BE49-F238E27FC236}">
              <a16:creationId xmlns:a16="http://schemas.microsoft.com/office/drawing/2014/main" id="{09991E8B-8516-433E-BB8D-75F2EB7615B1}"/>
            </a:ext>
          </a:extLst>
        </xdr:cNvPr>
        <xdr:cNvSpPr/>
      </xdr:nvSpPr>
      <xdr:spPr>
        <a:xfrm>
          <a:off x="8382000" y="28003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7</xdr:row>
      <xdr:rowOff>0</xdr:rowOff>
    </xdr:from>
    <xdr:to>
      <xdr:col>10</xdr:col>
      <xdr:colOff>208397</xdr:colOff>
      <xdr:row>7</xdr:row>
      <xdr:rowOff>157266</xdr:rowOff>
    </xdr:to>
    <xdr:sp macro="" textlink="">
      <xdr:nvSpPr>
        <xdr:cNvPr id="26" name="Striped Right Arrow 42">
          <a:extLst>
            <a:ext uri="{FF2B5EF4-FFF2-40B4-BE49-F238E27FC236}">
              <a16:creationId xmlns:a16="http://schemas.microsoft.com/office/drawing/2014/main" id="{4FAB083A-F263-4998-9B99-207DE8054DDF}"/>
            </a:ext>
          </a:extLst>
        </xdr:cNvPr>
        <xdr:cNvSpPr/>
      </xdr:nvSpPr>
      <xdr:spPr>
        <a:xfrm>
          <a:off x="8382000" y="140017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8</xdr:row>
      <xdr:rowOff>0</xdr:rowOff>
    </xdr:from>
    <xdr:to>
      <xdr:col>10</xdr:col>
      <xdr:colOff>208397</xdr:colOff>
      <xdr:row>8</xdr:row>
      <xdr:rowOff>157266</xdr:rowOff>
    </xdr:to>
    <xdr:sp macro="" textlink="">
      <xdr:nvSpPr>
        <xdr:cNvPr id="27" name="Striped Right Arrow 42">
          <a:extLst>
            <a:ext uri="{FF2B5EF4-FFF2-40B4-BE49-F238E27FC236}">
              <a16:creationId xmlns:a16="http://schemas.microsoft.com/office/drawing/2014/main" id="{CF2F13A9-D547-4F2C-B7B5-64E6D713D6E3}"/>
            </a:ext>
          </a:extLst>
        </xdr:cNvPr>
        <xdr:cNvSpPr/>
      </xdr:nvSpPr>
      <xdr:spPr>
        <a:xfrm>
          <a:off x="83820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9</xdr:row>
      <xdr:rowOff>0</xdr:rowOff>
    </xdr:from>
    <xdr:to>
      <xdr:col>10</xdr:col>
      <xdr:colOff>208397</xdr:colOff>
      <xdr:row>9</xdr:row>
      <xdr:rowOff>157266</xdr:rowOff>
    </xdr:to>
    <xdr:sp macro="" textlink="">
      <xdr:nvSpPr>
        <xdr:cNvPr id="28" name="Striped Right Arrow 42">
          <a:extLst>
            <a:ext uri="{FF2B5EF4-FFF2-40B4-BE49-F238E27FC236}">
              <a16:creationId xmlns:a16="http://schemas.microsoft.com/office/drawing/2014/main" id="{60A343FA-8FAA-4FAA-B5DB-BDF8AE23A01D}"/>
            </a:ext>
          </a:extLst>
        </xdr:cNvPr>
        <xdr:cNvSpPr/>
      </xdr:nvSpPr>
      <xdr:spPr>
        <a:xfrm>
          <a:off x="8382000" y="180022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59704</xdr:colOff>
      <xdr:row>19</xdr:row>
      <xdr:rowOff>863535</xdr:rowOff>
    </xdr:from>
    <xdr:to>
      <xdr:col>11</xdr:col>
      <xdr:colOff>39501</xdr:colOff>
      <xdr:row>19</xdr:row>
      <xdr:rowOff>1020801</xdr:rowOff>
    </xdr:to>
    <xdr:sp macro="" textlink="">
      <xdr:nvSpPr>
        <xdr:cNvPr id="29" name="Striped Right Arrow 45">
          <a:extLst>
            <a:ext uri="{FF2B5EF4-FFF2-40B4-BE49-F238E27FC236}">
              <a16:creationId xmlns:a16="http://schemas.microsoft.com/office/drawing/2014/main" id="{260A36B2-C2C5-433E-A2B1-D630A7BCAF13}"/>
            </a:ext>
          </a:extLst>
        </xdr:cNvPr>
        <xdr:cNvSpPr/>
      </xdr:nvSpPr>
      <xdr:spPr>
        <a:xfrm>
          <a:off x="8441704" y="3997260"/>
          <a:ext cx="817997" cy="48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18</xdr:row>
      <xdr:rowOff>0</xdr:rowOff>
    </xdr:from>
    <xdr:to>
      <xdr:col>8</xdr:col>
      <xdr:colOff>208397</xdr:colOff>
      <xdr:row>18</xdr:row>
      <xdr:rowOff>157266</xdr:rowOff>
    </xdr:to>
    <xdr:sp macro="" textlink="">
      <xdr:nvSpPr>
        <xdr:cNvPr id="30" name="Striped Right Arrow 42">
          <a:extLst>
            <a:ext uri="{FF2B5EF4-FFF2-40B4-BE49-F238E27FC236}">
              <a16:creationId xmlns:a16="http://schemas.microsoft.com/office/drawing/2014/main" id="{EF7795F7-3613-4C73-B8B9-6E75111D0EC8}"/>
            </a:ext>
          </a:extLst>
        </xdr:cNvPr>
        <xdr:cNvSpPr/>
      </xdr:nvSpPr>
      <xdr:spPr>
        <a:xfrm>
          <a:off x="6705600" y="36004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17</xdr:row>
      <xdr:rowOff>0</xdr:rowOff>
    </xdr:from>
    <xdr:to>
      <xdr:col>10</xdr:col>
      <xdr:colOff>208397</xdr:colOff>
      <xdr:row>17</xdr:row>
      <xdr:rowOff>157266</xdr:rowOff>
    </xdr:to>
    <xdr:sp macro="" textlink="">
      <xdr:nvSpPr>
        <xdr:cNvPr id="31" name="Striped Right Arrow 42">
          <a:extLst>
            <a:ext uri="{FF2B5EF4-FFF2-40B4-BE49-F238E27FC236}">
              <a16:creationId xmlns:a16="http://schemas.microsoft.com/office/drawing/2014/main" id="{3C8E485D-E8A9-4A07-8C0A-5EFF64ECC4A5}"/>
            </a:ext>
          </a:extLst>
        </xdr:cNvPr>
        <xdr:cNvSpPr/>
      </xdr:nvSpPr>
      <xdr:spPr>
        <a:xfrm>
          <a:off x="8382000" y="340042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18</xdr:row>
      <xdr:rowOff>0</xdr:rowOff>
    </xdr:from>
    <xdr:to>
      <xdr:col>10</xdr:col>
      <xdr:colOff>208397</xdr:colOff>
      <xdr:row>18</xdr:row>
      <xdr:rowOff>157266</xdr:rowOff>
    </xdr:to>
    <xdr:sp macro="" textlink="">
      <xdr:nvSpPr>
        <xdr:cNvPr id="32" name="Striped Right Arrow 42">
          <a:extLst>
            <a:ext uri="{FF2B5EF4-FFF2-40B4-BE49-F238E27FC236}">
              <a16:creationId xmlns:a16="http://schemas.microsoft.com/office/drawing/2014/main" id="{F39F61DA-2A75-4C45-8193-6BD734DBD84C}"/>
            </a:ext>
          </a:extLst>
        </xdr:cNvPr>
        <xdr:cNvSpPr/>
      </xdr:nvSpPr>
      <xdr:spPr>
        <a:xfrm>
          <a:off x="8382000" y="36004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19</xdr:row>
      <xdr:rowOff>0</xdr:rowOff>
    </xdr:from>
    <xdr:to>
      <xdr:col>10</xdr:col>
      <xdr:colOff>208397</xdr:colOff>
      <xdr:row>19</xdr:row>
      <xdr:rowOff>157266</xdr:rowOff>
    </xdr:to>
    <xdr:sp macro="" textlink="">
      <xdr:nvSpPr>
        <xdr:cNvPr id="33" name="Striped Right Arrow 42">
          <a:extLst>
            <a:ext uri="{FF2B5EF4-FFF2-40B4-BE49-F238E27FC236}">
              <a16:creationId xmlns:a16="http://schemas.microsoft.com/office/drawing/2014/main" id="{D7E58616-9FEE-490B-84A1-CB9389B33C21}"/>
            </a:ext>
          </a:extLst>
        </xdr:cNvPr>
        <xdr:cNvSpPr/>
      </xdr:nvSpPr>
      <xdr:spPr>
        <a:xfrm>
          <a:off x="8382000" y="380047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12</xdr:row>
      <xdr:rowOff>859413</xdr:rowOff>
    </xdr:from>
    <xdr:to>
      <xdr:col>7</xdr:col>
      <xdr:colOff>28247</xdr:colOff>
      <xdr:row>12</xdr:row>
      <xdr:rowOff>1016679</xdr:rowOff>
    </xdr:to>
    <xdr:sp macro="" textlink="">
      <xdr:nvSpPr>
        <xdr:cNvPr id="34" name="Striped Right Arrow 35">
          <a:extLst>
            <a:ext uri="{FF2B5EF4-FFF2-40B4-BE49-F238E27FC236}">
              <a16:creationId xmlns:a16="http://schemas.microsoft.com/office/drawing/2014/main" id="{7224EA68-BA22-4BCB-9E99-2FD0D100A955}"/>
            </a:ext>
          </a:extLst>
        </xdr:cNvPr>
        <xdr:cNvSpPr/>
      </xdr:nvSpPr>
      <xdr:spPr>
        <a:xfrm>
          <a:off x="5077650" y="260248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12</xdr:row>
      <xdr:rowOff>859413</xdr:rowOff>
    </xdr:from>
    <xdr:to>
      <xdr:col>7</xdr:col>
      <xdr:colOff>28247</xdr:colOff>
      <xdr:row>12</xdr:row>
      <xdr:rowOff>1016679</xdr:rowOff>
    </xdr:to>
    <xdr:sp macro="" textlink="">
      <xdr:nvSpPr>
        <xdr:cNvPr id="35" name="Striped Right Arrow 35">
          <a:extLst>
            <a:ext uri="{FF2B5EF4-FFF2-40B4-BE49-F238E27FC236}">
              <a16:creationId xmlns:a16="http://schemas.microsoft.com/office/drawing/2014/main" id="{4FCF6E1D-D715-47CD-B97F-6C9415C5319F}"/>
            </a:ext>
          </a:extLst>
        </xdr:cNvPr>
        <xdr:cNvSpPr/>
      </xdr:nvSpPr>
      <xdr:spPr>
        <a:xfrm>
          <a:off x="5077650" y="260248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48450</xdr:colOff>
      <xdr:row>12</xdr:row>
      <xdr:rowOff>859412</xdr:rowOff>
    </xdr:from>
    <xdr:to>
      <xdr:col>9</xdr:col>
      <xdr:colOff>28247</xdr:colOff>
      <xdr:row>12</xdr:row>
      <xdr:rowOff>1016678</xdr:rowOff>
    </xdr:to>
    <xdr:sp macro="" textlink="">
      <xdr:nvSpPr>
        <xdr:cNvPr id="36" name="Striped Right Arrow 36">
          <a:extLst>
            <a:ext uri="{FF2B5EF4-FFF2-40B4-BE49-F238E27FC236}">
              <a16:creationId xmlns:a16="http://schemas.microsoft.com/office/drawing/2014/main" id="{C8722BD2-7F73-484B-8061-7775EFAC5EE7}"/>
            </a:ext>
          </a:extLst>
        </xdr:cNvPr>
        <xdr:cNvSpPr/>
      </xdr:nvSpPr>
      <xdr:spPr>
        <a:xfrm>
          <a:off x="6754050" y="260248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56224</xdr:colOff>
      <xdr:row>12</xdr:row>
      <xdr:rowOff>849108</xdr:rowOff>
    </xdr:from>
    <xdr:to>
      <xdr:col>11</xdr:col>
      <xdr:colOff>36021</xdr:colOff>
      <xdr:row>12</xdr:row>
      <xdr:rowOff>1006374</xdr:rowOff>
    </xdr:to>
    <xdr:sp macro="" textlink="">
      <xdr:nvSpPr>
        <xdr:cNvPr id="37" name="Striped Right Arrow 37">
          <a:extLst>
            <a:ext uri="{FF2B5EF4-FFF2-40B4-BE49-F238E27FC236}">
              <a16:creationId xmlns:a16="http://schemas.microsoft.com/office/drawing/2014/main" id="{AB7A54BF-6A4D-4D85-8F95-9BE395F8676E}"/>
            </a:ext>
          </a:extLst>
        </xdr:cNvPr>
        <xdr:cNvSpPr/>
      </xdr:nvSpPr>
      <xdr:spPr>
        <a:xfrm>
          <a:off x="8438224" y="260170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13</xdr:row>
      <xdr:rowOff>0</xdr:rowOff>
    </xdr:from>
    <xdr:to>
      <xdr:col>8</xdr:col>
      <xdr:colOff>208397</xdr:colOff>
      <xdr:row>13</xdr:row>
      <xdr:rowOff>157266</xdr:rowOff>
    </xdr:to>
    <xdr:sp macro="" textlink="">
      <xdr:nvSpPr>
        <xdr:cNvPr id="38" name="Striped Right Arrow 42">
          <a:extLst>
            <a:ext uri="{FF2B5EF4-FFF2-40B4-BE49-F238E27FC236}">
              <a16:creationId xmlns:a16="http://schemas.microsoft.com/office/drawing/2014/main" id="{E4DD270A-6F0D-4857-A394-583D3403F404}"/>
            </a:ext>
          </a:extLst>
        </xdr:cNvPr>
        <xdr:cNvSpPr/>
      </xdr:nvSpPr>
      <xdr:spPr>
        <a:xfrm>
          <a:off x="6705600" y="260032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12</xdr:row>
      <xdr:rowOff>0</xdr:rowOff>
    </xdr:from>
    <xdr:to>
      <xdr:col>10</xdr:col>
      <xdr:colOff>208397</xdr:colOff>
      <xdr:row>12</xdr:row>
      <xdr:rowOff>157266</xdr:rowOff>
    </xdr:to>
    <xdr:sp macro="" textlink="">
      <xdr:nvSpPr>
        <xdr:cNvPr id="39" name="Striped Right Arrow 42">
          <a:extLst>
            <a:ext uri="{FF2B5EF4-FFF2-40B4-BE49-F238E27FC236}">
              <a16:creationId xmlns:a16="http://schemas.microsoft.com/office/drawing/2014/main" id="{4CA0611C-3364-40F4-8DC7-E750A10527A0}"/>
            </a:ext>
          </a:extLst>
        </xdr:cNvPr>
        <xdr:cNvSpPr/>
      </xdr:nvSpPr>
      <xdr:spPr>
        <a:xfrm>
          <a:off x="8382000" y="24003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13</xdr:row>
      <xdr:rowOff>0</xdr:rowOff>
    </xdr:from>
    <xdr:to>
      <xdr:col>10</xdr:col>
      <xdr:colOff>208397</xdr:colOff>
      <xdr:row>13</xdr:row>
      <xdr:rowOff>157266</xdr:rowOff>
    </xdr:to>
    <xdr:sp macro="" textlink="">
      <xdr:nvSpPr>
        <xdr:cNvPr id="40" name="Striped Right Arrow 42">
          <a:extLst>
            <a:ext uri="{FF2B5EF4-FFF2-40B4-BE49-F238E27FC236}">
              <a16:creationId xmlns:a16="http://schemas.microsoft.com/office/drawing/2014/main" id="{D1AA0624-B12D-4590-B8E0-CF3829BD83F8}"/>
            </a:ext>
          </a:extLst>
        </xdr:cNvPr>
        <xdr:cNvSpPr/>
      </xdr:nvSpPr>
      <xdr:spPr>
        <a:xfrm>
          <a:off x="8382000" y="260032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14</xdr:row>
      <xdr:rowOff>0</xdr:rowOff>
    </xdr:from>
    <xdr:to>
      <xdr:col>10</xdr:col>
      <xdr:colOff>208397</xdr:colOff>
      <xdr:row>14</xdr:row>
      <xdr:rowOff>157266</xdr:rowOff>
    </xdr:to>
    <xdr:sp macro="" textlink="">
      <xdr:nvSpPr>
        <xdr:cNvPr id="41" name="Striped Right Arrow 42">
          <a:extLst>
            <a:ext uri="{FF2B5EF4-FFF2-40B4-BE49-F238E27FC236}">
              <a16:creationId xmlns:a16="http://schemas.microsoft.com/office/drawing/2014/main" id="{C59CFE29-A775-4D07-9966-6AEAD1CFBF69}"/>
            </a:ext>
          </a:extLst>
        </xdr:cNvPr>
        <xdr:cNvSpPr/>
      </xdr:nvSpPr>
      <xdr:spPr>
        <a:xfrm>
          <a:off x="8382000" y="28003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17</xdr:row>
      <xdr:rowOff>859413</xdr:rowOff>
    </xdr:from>
    <xdr:to>
      <xdr:col>7</xdr:col>
      <xdr:colOff>28247</xdr:colOff>
      <xdr:row>17</xdr:row>
      <xdr:rowOff>1016679</xdr:rowOff>
    </xdr:to>
    <xdr:sp macro="" textlink="">
      <xdr:nvSpPr>
        <xdr:cNvPr id="42" name="Striped Right Arrow 35">
          <a:extLst>
            <a:ext uri="{FF2B5EF4-FFF2-40B4-BE49-F238E27FC236}">
              <a16:creationId xmlns:a16="http://schemas.microsoft.com/office/drawing/2014/main" id="{F81E433E-02D1-4591-B9A4-95203345F7D2}"/>
            </a:ext>
          </a:extLst>
        </xdr:cNvPr>
        <xdr:cNvSpPr/>
      </xdr:nvSpPr>
      <xdr:spPr>
        <a:xfrm>
          <a:off x="5077650" y="360261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48450</xdr:colOff>
      <xdr:row>17</xdr:row>
      <xdr:rowOff>859412</xdr:rowOff>
    </xdr:from>
    <xdr:to>
      <xdr:col>9</xdr:col>
      <xdr:colOff>28247</xdr:colOff>
      <xdr:row>17</xdr:row>
      <xdr:rowOff>1016678</xdr:rowOff>
    </xdr:to>
    <xdr:sp macro="" textlink="">
      <xdr:nvSpPr>
        <xdr:cNvPr id="43" name="Striped Right Arrow 36">
          <a:extLst>
            <a:ext uri="{FF2B5EF4-FFF2-40B4-BE49-F238E27FC236}">
              <a16:creationId xmlns:a16="http://schemas.microsoft.com/office/drawing/2014/main" id="{6770AB1F-7724-4D74-A3A2-DCAAE4031DF0}"/>
            </a:ext>
          </a:extLst>
        </xdr:cNvPr>
        <xdr:cNvSpPr/>
      </xdr:nvSpPr>
      <xdr:spPr>
        <a:xfrm>
          <a:off x="6754050" y="360261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56224</xdr:colOff>
      <xdr:row>17</xdr:row>
      <xdr:rowOff>849108</xdr:rowOff>
    </xdr:from>
    <xdr:to>
      <xdr:col>11</xdr:col>
      <xdr:colOff>36021</xdr:colOff>
      <xdr:row>17</xdr:row>
      <xdr:rowOff>1006374</xdr:rowOff>
    </xdr:to>
    <xdr:sp macro="" textlink="">
      <xdr:nvSpPr>
        <xdr:cNvPr id="44" name="Striped Right Arrow 37">
          <a:extLst>
            <a:ext uri="{FF2B5EF4-FFF2-40B4-BE49-F238E27FC236}">
              <a16:creationId xmlns:a16="http://schemas.microsoft.com/office/drawing/2014/main" id="{97A7007B-CD1A-4A25-95BC-DF2D7F62FDA6}"/>
            </a:ext>
          </a:extLst>
        </xdr:cNvPr>
        <xdr:cNvSpPr/>
      </xdr:nvSpPr>
      <xdr:spPr>
        <a:xfrm>
          <a:off x="8438224" y="360183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18</xdr:row>
      <xdr:rowOff>0</xdr:rowOff>
    </xdr:from>
    <xdr:to>
      <xdr:col>8</xdr:col>
      <xdr:colOff>208397</xdr:colOff>
      <xdr:row>18</xdr:row>
      <xdr:rowOff>157266</xdr:rowOff>
    </xdr:to>
    <xdr:sp macro="" textlink="">
      <xdr:nvSpPr>
        <xdr:cNvPr id="45" name="Striped Right Arrow 42">
          <a:extLst>
            <a:ext uri="{FF2B5EF4-FFF2-40B4-BE49-F238E27FC236}">
              <a16:creationId xmlns:a16="http://schemas.microsoft.com/office/drawing/2014/main" id="{FAC81937-4BA6-4FBB-AA48-BAFBF8E28BDD}"/>
            </a:ext>
          </a:extLst>
        </xdr:cNvPr>
        <xdr:cNvSpPr/>
      </xdr:nvSpPr>
      <xdr:spPr>
        <a:xfrm>
          <a:off x="6705600" y="36004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17</xdr:row>
      <xdr:rowOff>0</xdr:rowOff>
    </xdr:from>
    <xdr:to>
      <xdr:col>10</xdr:col>
      <xdr:colOff>208397</xdr:colOff>
      <xdr:row>17</xdr:row>
      <xdr:rowOff>157266</xdr:rowOff>
    </xdr:to>
    <xdr:sp macro="" textlink="">
      <xdr:nvSpPr>
        <xdr:cNvPr id="46" name="Striped Right Arrow 42">
          <a:extLst>
            <a:ext uri="{FF2B5EF4-FFF2-40B4-BE49-F238E27FC236}">
              <a16:creationId xmlns:a16="http://schemas.microsoft.com/office/drawing/2014/main" id="{83E9FA1E-2ECC-4EE3-B86C-6274376D92C9}"/>
            </a:ext>
          </a:extLst>
        </xdr:cNvPr>
        <xdr:cNvSpPr/>
      </xdr:nvSpPr>
      <xdr:spPr>
        <a:xfrm>
          <a:off x="8382000" y="340042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18</xdr:row>
      <xdr:rowOff>0</xdr:rowOff>
    </xdr:from>
    <xdr:to>
      <xdr:col>10</xdr:col>
      <xdr:colOff>208397</xdr:colOff>
      <xdr:row>18</xdr:row>
      <xdr:rowOff>157266</xdr:rowOff>
    </xdr:to>
    <xdr:sp macro="" textlink="">
      <xdr:nvSpPr>
        <xdr:cNvPr id="47" name="Striped Right Arrow 42">
          <a:extLst>
            <a:ext uri="{FF2B5EF4-FFF2-40B4-BE49-F238E27FC236}">
              <a16:creationId xmlns:a16="http://schemas.microsoft.com/office/drawing/2014/main" id="{170919D6-101B-4562-AABF-D97B96D42073}"/>
            </a:ext>
          </a:extLst>
        </xdr:cNvPr>
        <xdr:cNvSpPr/>
      </xdr:nvSpPr>
      <xdr:spPr>
        <a:xfrm>
          <a:off x="8382000" y="36004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19</xdr:row>
      <xdr:rowOff>0</xdr:rowOff>
    </xdr:from>
    <xdr:to>
      <xdr:col>10</xdr:col>
      <xdr:colOff>208397</xdr:colOff>
      <xdr:row>19</xdr:row>
      <xdr:rowOff>157266</xdr:rowOff>
    </xdr:to>
    <xdr:sp macro="" textlink="">
      <xdr:nvSpPr>
        <xdr:cNvPr id="48" name="Striped Right Arrow 42">
          <a:extLst>
            <a:ext uri="{FF2B5EF4-FFF2-40B4-BE49-F238E27FC236}">
              <a16:creationId xmlns:a16="http://schemas.microsoft.com/office/drawing/2014/main" id="{901D3185-4F93-4645-8717-3A94B3EA3697}"/>
            </a:ext>
          </a:extLst>
        </xdr:cNvPr>
        <xdr:cNvSpPr/>
      </xdr:nvSpPr>
      <xdr:spPr>
        <a:xfrm>
          <a:off x="8382000" y="380047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40676</xdr:colOff>
      <xdr:row>7</xdr:row>
      <xdr:rowOff>869717</xdr:rowOff>
    </xdr:from>
    <xdr:to>
      <xdr:col>5</xdr:col>
      <xdr:colOff>20473</xdr:colOff>
      <xdr:row>7</xdr:row>
      <xdr:rowOff>1026983</xdr:rowOff>
    </xdr:to>
    <xdr:sp macro="" textlink="">
      <xdr:nvSpPr>
        <xdr:cNvPr id="2" name="Striped Right Arrow 34">
          <a:extLst>
            <a:ext uri="{FF2B5EF4-FFF2-40B4-BE49-F238E27FC236}">
              <a16:creationId xmlns:a16="http://schemas.microsoft.com/office/drawing/2014/main" id="{E7C9C639-E490-4757-ABC3-5FF4D4E0F0C4}"/>
            </a:ext>
          </a:extLst>
        </xdr:cNvPr>
        <xdr:cNvSpPr/>
      </xdr:nvSpPr>
      <xdr:spPr>
        <a:xfrm>
          <a:off x="3393476" y="160314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7</xdr:row>
      <xdr:rowOff>859413</xdr:rowOff>
    </xdr:from>
    <xdr:to>
      <xdr:col>7</xdr:col>
      <xdr:colOff>28247</xdr:colOff>
      <xdr:row>7</xdr:row>
      <xdr:rowOff>1016679</xdr:rowOff>
    </xdr:to>
    <xdr:sp macro="" textlink="">
      <xdr:nvSpPr>
        <xdr:cNvPr id="3" name="Striped Right Arrow 35">
          <a:extLst>
            <a:ext uri="{FF2B5EF4-FFF2-40B4-BE49-F238E27FC236}">
              <a16:creationId xmlns:a16="http://schemas.microsoft.com/office/drawing/2014/main" id="{95D987AB-19C8-4B56-A699-C1E7E0E0D2CF}"/>
            </a:ext>
          </a:extLst>
        </xdr:cNvPr>
        <xdr:cNvSpPr/>
      </xdr:nvSpPr>
      <xdr:spPr>
        <a:xfrm>
          <a:off x="5077650" y="160236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48450</xdr:colOff>
      <xdr:row>7</xdr:row>
      <xdr:rowOff>859412</xdr:rowOff>
    </xdr:from>
    <xdr:to>
      <xdr:col>9</xdr:col>
      <xdr:colOff>28247</xdr:colOff>
      <xdr:row>7</xdr:row>
      <xdr:rowOff>1016678</xdr:rowOff>
    </xdr:to>
    <xdr:sp macro="" textlink="">
      <xdr:nvSpPr>
        <xdr:cNvPr id="4" name="Striped Right Arrow 36">
          <a:extLst>
            <a:ext uri="{FF2B5EF4-FFF2-40B4-BE49-F238E27FC236}">
              <a16:creationId xmlns:a16="http://schemas.microsoft.com/office/drawing/2014/main" id="{294E509E-FAF3-4E17-B3E1-8AF0FBD88014}"/>
            </a:ext>
          </a:extLst>
        </xdr:cNvPr>
        <xdr:cNvSpPr/>
      </xdr:nvSpPr>
      <xdr:spPr>
        <a:xfrm>
          <a:off x="6754050" y="160236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56224</xdr:colOff>
      <xdr:row>7</xdr:row>
      <xdr:rowOff>849108</xdr:rowOff>
    </xdr:from>
    <xdr:to>
      <xdr:col>11</xdr:col>
      <xdr:colOff>36021</xdr:colOff>
      <xdr:row>7</xdr:row>
      <xdr:rowOff>1006374</xdr:rowOff>
    </xdr:to>
    <xdr:sp macro="" textlink="">
      <xdr:nvSpPr>
        <xdr:cNvPr id="5" name="Striped Right Arrow 37">
          <a:extLst>
            <a:ext uri="{FF2B5EF4-FFF2-40B4-BE49-F238E27FC236}">
              <a16:creationId xmlns:a16="http://schemas.microsoft.com/office/drawing/2014/main" id="{FE9E8FEE-29FA-4D9D-B70D-35B6947D9CB0}"/>
            </a:ext>
          </a:extLst>
        </xdr:cNvPr>
        <xdr:cNvSpPr/>
      </xdr:nvSpPr>
      <xdr:spPr>
        <a:xfrm>
          <a:off x="8438224" y="160158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56223</xdr:colOff>
      <xdr:row>7</xdr:row>
      <xdr:rowOff>859303</xdr:rowOff>
    </xdr:from>
    <xdr:to>
      <xdr:col>14</xdr:col>
      <xdr:colOff>26831</xdr:colOff>
      <xdr:row>7</xdr:row>
      <xdr:rowOff>1016569</xdr:rowOff>
    </xdr:to>
    <xdr:sp macro="" textlink="">
      <xdr:nvSpPr>
        <xdr:cNvPr id="6" name="Striped Right Arrow 46">
          <a:extLst>
            <a:ext uri="{FF2B5EF4-FFF2-40B4-BE49-F238E27FC236}">
              <a16:creationId xmlns:a16="http://schemas.microsoft.com/office/drawing/2014/main" id="{AE73588C-B57D-4D4B-A0B9-5740A11702B1}"/>
            </a:ext>
          </a:extLst>
        </xdr:cNvPr>
        <xdr:cNvSpPr/>
      </xdr:nvSpPr>
      <xdr:spPr>
        <a:xfrm>
          <a:off x="10114623" y="1602253"/>
          <a:ext cx="1647008"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8</xdr:row>
      <xdr:rowOff>0</xdr:rowOff>
    </xdr:from>
    <xdr:to>
      <xdr:col>4</xdr:col>
      <xdr:colOff>208397</xdr:colOff>
      <xdr:row>8</xdr:row>
      <xdr:rowOff>157266</xdr:rowOff>
    </xdr:to>
    <xdr:sp macro="" textlink="">
      <xdr:nvSpPr>
        <xdr:cNvPr id="8" name="Striped Right Arrow 42">
          <a:extLst>
            <a:ext uri="{FF2B5EF4-FFF2-40B4-BE49-F238E27FC236}">
              <a16:creationId xmlns:a16="http://schemas.microsoft.com/office/drawing/2014/main" id="{D940B1E9-0D14-4481-BC75-D64BE3B2BA4C}"/>
            </a:ext>
          </a:extLst>
        </xdr:cNvPr>
        <xdr:cNvSpPr/>
      </xdr:nvSpPr>
      <xdr:spPr>
        <a:xfrm>
          <a:off x="33528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8</xdr:row>
      <xdr:rowOff>0</xdr:rowOff>
    </xdr:from>
    <xdr:to>
      <xdr:col>6</xdr:col>
      <xdr:colOff>208397</xdr:colOff>
      <xdr:row>8</xdr:row>
      <xdr:rowOff>157266</xdr:rowOff>
    </xdr:to>
    <xdr:sp macro="" textlink="">
      <xdr:nvSpPr>
        <xdr:cNvPr id="9" name="Striped Right Arrow 42">
          <a:extLst>
            <a:ext uri="{FF2B5EF4-FFF2-40B4-BE49-F238E27FC236}">
              <a16:creationId xmlns:a16="http://schemas.microsoft.com/office/drawing/2014/main" id="{D6AF4094-5368-4123-97E4-EC0C39CF6556}"/>
            </a:ext>
          </a:extLst>
        </xdr:cNvPr>
        <xdr:cNvSpPr/>
      </xdr:nvSpPr>
      <xdr:spPr>
        <a:xfrm>
          <a:off x="50292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8</xdr:row>
      <xdr:rowOff>0</xdr:rowOff>
    </xdr:from>
    <xdr:to>
      <xdr:col>8</xdr:col>
      <xdr:colOff>208397</xdr:colOff>
      <xdr:row>8</xdr:row>
      <xdr:rowOff>157266</xdr:rowOff>
    </xdr:to>
    <xdr:sp macro="" textlink="">
      <xdr:nvSpPr>
        <xdr:cNvPr id="10" name="Striped Right Arrow 42">
          <a:extLst>
            <a:ext uri="{FF2B5EF4-FFF2-40B4-BE49-F238E27FC236}">
              <a16:creationId xmlns:a16="http://schemas.microsoft.com/office/drawing/2014/main" id="{6B298DA5-3FF3-4A61-8653-21EA5A4D178C}"/>
            </a:ext>
          </a:extLst>
        </xdr:cNvPr>
        <xdr:cNvSpPr/>
      </xdr:nvSpPr>
      <xdr:spPr>
        <a:xfrm>
          <a:off x="67056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8</xdr:row>
      <xdr:rowOff>0</xdr:rowOff>
    </xdr:from>
    <xdr:to>
      <xdr:col>10</xdr:col>
      <xdr:colOff>208397</xdr:colOff>
      <xdr:row>8</xdr:row>
      <xdr:rowOff>157266</xdr:rowOff>
    </xdr:to>
    <xdr:sp macro="" textlink="">
      <xdr:nvSpPr>
        <xdr:cNvPr id="11" name="Striped Right Arrow 42">
          <a:extLst>
            <a:ext uri="{FF2B5EF4-FFF2-40B4-BE49-F238E27FC236}">
              <a16:creationId xmlns:a16="http://schemas.microsoft.com/office/drawing/2014/main" id="{15380D9A-E2AB-4B39-B958-577B0BDDBF0B}"/>
            </a:ext>
          </a:extLst>
        </xdr:cNvPr>
        <xdr:cNvSpPr/>
      </xdr:nvSpPr>
      <xdr:spPr>
        <a:xfrm>
          <a:off x="8382000" y="160020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48450</xdr:colOff>
      <xdr:row>7</xdr:row>
      <xdr:rowOff>859412</xdr:rowOff>
    </xdr:from>
    <xdr:to>
      <xdr:col>11</xdr:col>
      <xdr:colOff>28247</xdr:colOff>
      <xdr:row>7</xdr:row>
      <xdr:rowOff>1016678</xdr:rowOff>
    </xdr:to>
    <xdr:sp macro="" textlink="">
      <xdr:nvSpPr>
        <xdr:cNvPr id="12" name="Striped Right Arrow 36">
          <a:extLst>
            <a:ext uri="{FF2B5EF4-FFF2-40B4-BE49-F238E27FC236}">
              <a16:creationId xmlns:a16="http://schemas.microsoft.com/office/drawing/2014/main" id="{938594A8-F032-4B8C-88D7-1B9CAE920DAE}"/>
            </a:ext>
          </a:extLst>
        </xdr:cNvPr>
        <xdr:cNvSpPr/>
      </xdr:nvSpPr>
      <xdr:spPr>
        <a:xfrm>
          <a:off x="8430450" y="160236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22</xdr:row>
      <xdr:rowOff>859413</xdr:rowOff>
    </xdr:from>
    <xdr:to>
      <xdr:col>7</xdr:col>
      <xdr:colOff>28247</xdr:colOff>
      <xdr:row>22</xdr:row>
      <xdr:rowOff>1016679</xdr:rowOff>
    </xdr:to>
    <xdr:sp macro="" textlink="">
      <xdr:nvSpPr>
        <xdr:cNvPr id="13" name="Striped Right Arrow 35">
          <a:extLst>
            <a:ext uri="{FF2B5EF4-FFF2-40B4-BE49-F238E27FC236}">
              <a16:creationId xmlns:a16="http://schemas.microsoft.com/office/drawing/2014/main" id="{EE6C6E0E-4507-43A1-A9EC-18F566B00393}"/>
            </a:ext>
          </a:extLst>
        </xdr:cNvPr>
        <xdr:cNvSpPr/>
      </xdr:nvSpPr>
      <xdr:spPr>
        <a:xfrm>
          <a:off x="5077650" y="460273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48450</xdr:colOff>
      <xdr:row>22</xdr:row>
      <xdr:rowOff>859412</xdr:rowOff>
    </xdr:from>
    <xdr:to>
      <xdr:col>9</xdr:col>
      <xdr:colOff>28247</xdr:colOff>
      <xdr:row>22</xdr:row>
      <xdr:rowOff>1016678</xdr:rowOff>
    </xdr:to>
    <xdr:sp macro="" textlink="">
      <xdr:nvSpPr>
        <xdr:cNvPr id="14" name="Striped Right Arrow 36">
          <a:extLst>
            <a:ext uri="{FF2B5EF4-FFF2-40B4-BE49-F238E27FC236}">
              <a16:creationId xmlns:a16="http://schemas.microsoft.com/office/drawing/2014/main" id="{D3D74F98-5EC2-454B-BEB4-C5DA2D39C136}"/>
            </a:ext>
          </a:extLst>
        </xdr:cNvPr>
        <xdr:cNvSpPr/>
      </xdr:nvSpPr>
      <xdr:spPr>
        <a:xfrm>
          <a:off x="6754050" y="460273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56224</xdr:colOff>
      <xdr:row>22</xdr:row>
      <xdr:rowOff>849108</xdr:rowOff>
    </xdr:from>
    <xdr:to>
      <xdr:col>11</xdr:col>
      <xdr:colOff>36021</xdr:colOff>
      <xdr:row>22</xdr:row>
      <xdr:rowOff>1006374</xdr:rowOff>
    </xdr:to>
    <xdr:sp macro="" textlink="">
      <xdr:nvSpPr>
        <xdr:cNvPr id="15" name="Striped Right Arrow 37">
          <a:extLst>
            <a:ext uri="{FF2B5EF4-FFF2-40B4-BE49-F238E27FC236}">
              <a16:creationId xmlns:a16="http://schemas.microsoft.com/office/drawing/2014/main" id="{4DE8766B-7C50-4042-9992-92D64E053002}"/>
            </a:ext>
          </a:extLst>
        </xdr:cNvPr>
        <xdr:cNvSpPr/>
      </xdr:nvSpPr>
      <xdr:spPr>
        <a:xfrm>
          <a:off x="8438224" y="460195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56223</xdr:colOff>
      <xdr:row>22</xdr:row>
      <xdr:rowOff>859303</xdr:rowOff>
    </xdr:from>
    <xdr:to>
      <xdr:col>14</xdr:col>
      <xdr:colOff>26831</xdr:colOff>
      <xdr:row>22</xdr:row>
      <xdr:rowOff>1016569</xdr:rowOff>
    </xdr:to>
    <xdr:sp macro="" textlink="">
      <xdr:nvSpPr>
        <xdr:cNvPr id="16" name="Striped Right Arrow 46">
          <a:extLst>
            <a:ext uri="{FF2B5EF4-FFF2-40B4-BE49-F238E27FC236}">
              <a16:creationId xmlns:a16="http://schemas.microsoft.com/office/drawing/2014/main" id="{96C62D81-96DD-4039-A665-EB112DB3A19B}"/>
            </a:ext>
          </a:extLst>
        </xdr:cNvPr>
        <xdr:cNvSpPr/>
      </xdr:nvSpPr>
      <xdr:spPr>
        <a:xfrm>
          <a:off x="10114623" y="4602628"/>
          <a:ext cx="1647008"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23</xdr:row>
      <xdr:rowOff>0</xdr:rowOff>
    </xdr:from>
    <xdr:to>
      <xdr:col>8</xdr:col>
      <xdr:colOff>208397</xdr:colOff>
      <xdr:row>23</xdr:row>
      <xdr:rowOff>157266</xdr:rowOff>
    </xdr:to>
    <xdr:sp macro="" textlink="">
      <xdr:nvSpPr>
        <xdr:cNvPr id="17" name="Striped Right Arrow 42">
          <a:extLst>
            <a:ext uri="{FF2B5EF4-FFF2-40B4-BE49-F238E27FC236}">
              <a16:creationId xmlns:a16="http://schemas.microsoft.com/office/drawing/2014/main" id="{C3A0958B-7B95-4F0B-ADD0-8741601F1B6C}"/>
            </a:ext>
          </a:extLst>
        </xdr:cNvPr>
        <xdr:cNvSpPr/>
      </xdr:nvSpPr>
      <xdr:spPr>
        <a:xfrm>
          <a:off x="6705600" y="460057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23</xdr:row>
      <xdr:rowOff>0</xdr:rowOff>
    </xdr:from>
    <xdr:to>
      <xdr:col>10</xdr:col>
      <xdr:colOff>208397</xdr:colOff>
      <xdr:row>23</xdr:row>
      <xdr:rowOff>157266</xdr:rowOff>
    </xdr:to>
    <xdr:sp macro="" textlink="">
      <xdr:nvSpPr>
        <xdr:cNvPr id="18" name="Striped Right Arrow 42">
          <a:extLst>
            <a:ext uri="{FF2B5EF4-FFF2-40B4-BE49-F238E27FC236}">
              <a16:creationId xmlns:a16="http://schemas.microsoft.com/office/drawing/2014/main" id="{2010AA6A-C71D-4ECF-B6C4-0664EBBB280F}"/>
            </a:ext>
          </a:extLst>
        </xdr:cNvPr>
        <xdr:cNvSpPr/>
      </xdr:nvSpPr>
      <xdr:spPr>
        <a:xfrm>
          <a:off x="8382000" y="460057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48450</xdr:colOff>
      <xdr:row>22</xdr:row>
      <xdr:rowOff>859412</xdr:rowOff>
    </xdr:from>
    <xdr:to>
      <xdr:col>11</xdr:col>
      <xdr:colOff>28247</xdr:colOff>
      <xdr:row>22</xdr:row>
      <xdr:rowOff>1016678</xdr:rowOff>
    </xdr:to>
    <xdr:sp macro="" textlink="">
      <xdr:nvSpPr>
        <xdr:cNvPr id="19" name="Striped Right Arrow 36">
          <a:extLst>
            <a:ext uri="{FF2B5EF4-FFF2-40B4-BE49-F238E27FC236}">
              <a16:creationId xmlns:a16="http://schemas.microsoft.com/office/drawing/2014/main" id="{8BBB8C68-9499-4E1B-A745-BCF4EE69735D}"/>
            </a:ext>
          </a:extLst>
        </xdr:cNvPr>
        <xdr:cNvSpPr/>
      </xdr:nvSpPr>
      <xdr:spPr>
        <a:xfrm>
          <a:off x="8430450" y="460273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40676</xdr:colOff>
      <xdr:row>22</xdr:row>
      <xdr:rowOff>869717</xdr:rowOff>
    </xdr:from>
    <xdr:to>
      <xdr:col>5</xdr:col>
      <xdr:colOff>20473</xdr:colOff>
      <xdr:row>22</xdr:row>
      <xdr:rowOff>1026983</xdr:rowOff>
    </xdr:to>
    <xdr:sp macro="" textlink="">
      <xdr:nvSpPr>
        <xdr:cNvPr id="20" name="Striped Right Arrow 34">
          <a:extLst>
            <a:ext uri="{FF2B5EF4-FFF2-40B4-BE49-F238E27FC236}">
              <a16:creationId xmlns:a16="http://schemas.microsoft.com/office/drawing/2014/main" id="{F322C2FF-9098-43DF-9DCE-5F6C431B4D12}"/>
            </a:ext>
          </a:extLst>
        </xdr:cNvPr>
        <xdr:cNvSpPr/>
      </xdr:nvSpPr>
      <xdr:spPr>
        <a:xfrm>
          <a:off x="3393476" y="460351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22</xdr:row>
      <xdr:rowOff>859413</xdr:rowOff>
    </xdr:from>
    <xdr:to>
      <xdr:col>7</xdr:col>
      <xdr:colOff>28247</xdr:colOff>
      <xdr:row>22</xdr:row>
      <xdr:rowOff>1016679</xdr:rowOff>
    </xdr:to>
    <xdr:sp macro="" textlink="">
      <xdr:nvSpPr>
        <xdr:cNvPr id="21" name="Striped Right Arrow 35">
          <a:extLst>
            <a:ext uri="{FF2B5EF4-FFF2-40B4-BE49-F238E27FC236}">
              <a16:creationId xmlns:a16="http://schemas.microsoft.com/office/drawing/2014/main" id="{A1B1F677-A361-45E9-A3FC-076B697494E3}"/>
            </a:ext>
          </a:extLst>
        </xdr:cNvPr>
        <xdr:cNvSpPr/>
      </xdr:nvSpPr>
      <xdr:spPr>
        <a:xfrm>
          <a:off x="5077650" y="460273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48450</xdr:colOff>
      <xdr:row>22</xdr:row>
      <xdr:rowOff>859412</xdr:rowOff>
    </xdr:from>
    <xdr:to>
      <xdr:col>9</xdr:col>
      <xdr:colOff>28247</xdr:colOff>
      <xdr:row>22</xdr:row>
      <xdr:rowOff>1016678</xdr:rowOff>
    </xdr:to>
    <xdr:sp macro="" textlink="">
      <xdr:nvSpPr>
        <xdr:cNvPr id="22" name="Striped Right Arrow 36">
          <a:extLst>
            <a:ext uri="{FF2B5EF4-FFF2-40B4-BE49-F238E27FC236}">
              <a16:creationId xmlns:a16="http://schemas.microsoft.com/office/drawing/2014/main" id="{0B4A4278-7DC0-4B12-879F-3FB6DA000316}"/>
            </a:ext>
          </a:extLst>
        </xdr:cNvPr>
        <xdr:cNvSpPr/>
      </xdr:nvSpPr>
      <xdr:spPr>
        <a:xfrm>
          <a:off x="6754050" y="460273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56224</xdr:colOff>
      <xdr:row>22</xdr:row>
      <xdr:rowOff>849108</xdr:rowOff>
    </xdr:from>
    <xdr:to>
      <xdr:col>11</xdr:col>
      <xdr:colOff>36021</xdr:colOff>
      <xdr:row>22</xdr:row>
      <xdr:rowOff>1006374</xdr:rowOff>
    </xdr:to>
    <xdr:sp macro="" textlink="">
      <xdr:nvSpPr>
        <xdr:cNvPr id="23" name="Striped Right Arrow 37">
          <a:extLst>
            <a:ext uri="{FF2B5EF4-FFF2-40B4-BE49-F238E27FC236}">
              <a16:creationId xmlns:a16="http://schemas.microsoft.com/office/drawing/2014/main" id="{9B49CB0F-3CC3-4758-B27E-BBF937D6B80F}"/>
            </a:ext>
          </a:extLst>
        </xdr:cNvPr>
        <xdr:cNvSpPr/>
      </xdr:nvSpPr>
      <xdr:spPr>
        <a:xfrm>
          <a:off x="8438224" y="4601958"/>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56223</xdr:colOff>
      <xdr:row>22</xdr:row>
      <xdr:rowOff>859303</xdr:rowOff>
    </xdr:from>
    <xdr:to>
      <xdr:col>14</xdr:col>
      <xdr:colOff>26831</xdr:colOff>
      <xdr:row>22</xdr:row>
      <xdr:rowOff>1016569</xdr:rowOff>
    </xdr:to>
    <xdr:sp macro="" textlink="">
      <xdr:nvSpPr>
        <xdr:cNvPr id="24" name="Striped Right Arrow 46">
          <a:extLst>
            <a:ext uri="{FF2B5EF4-FFF2-40B4-BE49-F238E27FC236}">
              <a16:creationId xmlns:a16="http://schemas.microsoft.com/office/drawing/2014/main" id="{5FBAA455-2507-4BAC-A619-3ABDED796C07}"/>
            </a:ext>
          </a:extLst>
        </xdr:cNvPr>
        <xdr:cNvSpPr/>
      </xdr:nvSpPr>
      <xdr:spPr>
        <a:xfrm>
          <a:off x="10114623" y="4602628"/>
          <a:ext cx="1647008"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23</xdr:row>
      <xdr:rowOff>0</xdr:rowOff>
    </xdr:from>
    <xdr:to>
      <xdr:col>6</xdr:col>
      <xdr:colOff>208397</xdr:colOff>
      <xdr:row>23</xdr:row>
      <xdr:rowOff>157266</xdr:rowOff>
    </xdr:to>
    <xdr:sp macro="" textlink="">
      <xdr:nvSpPr>
        <xdr:cNvPr id="25" name="Striped Right Arrow 42">
          <a:extLst>
            <a:ext uri="{FF2B5EF4-FFF2-40B4-BE49-F238E27FC236}">
              <a16:creationId xmlns:a16="http://schemas.microsoft.com/office/drawing/2014/main" id="{92E9E669-21E1-4EC2-8FBD-2E81EE663F1A}"/>
            </a:ext>
          </a:extLst>
        </xdr:cNvPr>
        <xdr:cNvSpPr/>
      </xdr:nvSpPr>
      <xdr:spPr>
        <a:xfrm>
          <a:off x="5029200" y="460057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23</xdr:row>
      <xdr:rowOff>0</xdr:rowOff>
    </xdr:from>
    <xdr:to>
      <xdr:col>8</xdr:col>
      <xdr:colOff>208397</xdr:colOff>
      <xdr:row>23</xdr:row>
      <xdr:rowOff>157266</xdr:rowOff>
    </xdr:to>
    <xdr:sp macro="" textlink="">
      <xdr:nvSpPr>
        <xdr:cNvPr id="26" name="Striped Right Arrow 42">
          <a:extLst>
            <a:ext uri="{FF2B5EF4-FFF2-40B4-BE49-F238E27FC236}">
              <a16:creationId xmlns:a16="http://schemas.microsoft.com/office/drawing/2014/main" id="{8B8BF24F-29BA-4BAD-809D-6083E7C887FC}"/>
            </a:ext>
          </a:extLst>
        </xdr:cNvPr>
        <xdr:cNvSpPr/>
      </xdr:nvSpPr>
      <xdr:spPr>
        <a:xfrm>
          <a:off x="6705600" y="460057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23</xdr:row>
      <xdr:rowOff>0</xdr:rowOff>
    </xdr:from>
    <xdr:to>
      <xdr:col>10</xdr:col>
      <xdr:colOff>208397</xdr:colOff>
      <xdr:row>23</xdr:row>
      <xdr:rowOff>157266</xdr:rowOff>
    </xdr:to>
    <xdr:sp macro="" textlink="">
      <xdr:nvSpPr>
        <xdr:cNvPr id="27" name="Striped Right Arrow 42">
          <a:extLst>
            <a:ext uri="{FF2B5EF4-FFF2-40B4-BE49-F238E27FC236}">
              <a16:creationId xmlns:a16="http://schemas.microsoft.com/office/drawing/2014/main" id="{C8998245-E1B7-4D80-BEE2-B06DA985DA96}"/>
            </a:ext>
          </a:extLst>
        </xdr:cNvPr>
        <xdr:cNvSpPr/>
      </xdr:nvSpPr>
      <xdr:spPr>
        <a:xfrm>
          <a:off x="8382000" y="4600575"/>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48450</xdr:colOff>
      <xdr:row>22</xdr:row>
      <xdr:rowOff>859412</xdr:rowOff>
    </xdr:from>
    <xdr:to>
      <xdr:col>11</xdr:col>
      <xdr:colOff>28247</xdr:colOff>
      <xdr:row>22</xdr:row>
      <xdr:rowOff>1016678</xdr:rowOff>
    </xdr:to>
    <xdr:sp macro="" textlink="">
      <xdr:nvSpPr>
        <xdr:cNvPr id="28" name="Striped Right Arrow 36">
          <a:extLst>
            <a:ext uri="{FF2B5EF4-FFF2-40B4-BE49-F238E27FC236}">
              <a16:creationId xmlns:a16="http://schemas.microsoft.com/office/drawing/2014/main" id="{E4A5DE0B-9357-4A1C-A0A6-FCD8D7326CF7}"/>
            </a:ext>
          </a:extLst>
        </xdr:cNvPr>
        <xdr:cNvSpPr/>
      </xdr:nvSpPr>
      <xdr:spPr>
        <a:xfrm>
          <a:off x="8430450" y="460273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37</xdr:row>
      <xdr:rowOff>859413</xdr:rowOff>
    </xdr:from>
    <xdr:to>
      <xdr:col>7</xdr:col>
      <xdr:colOff>28247</xdr:colOff>
      <xdr:row>37</xdr:row>
      <xdr:rowOff>1016679</xdr:rowOff>
    </xdr:to>
    <xdr:sp macro="" textlink="">
      <xdr:nvSpPr>
        <xdr:cNvPr id="29" name="Striped Right Arrow 35">
          <a:extLst>
            <a:ext uri="{FF2B5EF4-FFF2-40B4-BE49-F238E27FC236}">
              <a16:creationId xmlns:a16="http://schemas.microsoft.com/office/drawing/2014/main" id="{EB2AC78F-15FF-45F9-AD81-E184C1C419AA}"/>
            </a:ext>
          </a:extLst>
        </xdr:cNvPr>
        <xdr:cNvSpPr/>
      </xdr:nvSpPr>
      <xdr:spPr>
        <a:xfrm>
          <a:off x="5077650" y="760311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48450</xdr:colOff>
      <xdr:row>37</xdr:row>
      <xdr:rowOff>859412</xdr:rowOff>
    </xdr:from>
    <xdr:to>
      <xdr:col>9</xdr:col>
      <xdr:colOff>28247</xdr:colOff>
      <xdr:row>37</xdr:row>
      <xdr:rowOff>1016678</xdr:rowOff>
    </xdr:to>
    <xdr:sp macro="" textlink="">
      <xdr:nvSpPr>
        <xdr:cNvPr id="30" name="Striped Right Arrow 36">
          <a:extLst>
            <a:ext uri="{FF2B5EF4-FFF2-40B4-BE49-F238E27FC236}">
              <a16:creationId xmlns:a16="http://schemas.microsoft.com/office/drawing/2014/main" id="{0A1DBBCD-93E3-4C27-9395-8F324A07885E}"/>
            </a:ext>
          </a:extLst>
        </xdr:cNvPr>
        <xdr:cNvSpPr/>
      </xdr:nvSpPr>
      <xdr:spPr>
        <a:xfrm>
          <a:off x="6754050" y="760311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56224</xdr:colOff>
      <xdr:row>37</xdr:row>
      <xdr:rowOff>849108</xdr:rowOff>
    </xdr:from>
    <xdr:to>
      <xdr:col>11</xdr:col>
      <xdr:colOff>36021</xdr:colOff>
      <xdr:row>37</xdr:row>
      <xdr:rowOff>1006374</xdr:rowOff>
    </xdr:to>
    <xdr:sp macro="" textlink="">
      <xdr:nvSpPr>
        <xdr:cNvPr id="31" name="Striped Right Arrow 37">
          <a:extLst>
            <a:ext uri="{FF2B5EF4-FFF2-40B4-BE49-F238E27FC236}">
              <a16:creationId xmlns:a16="http://schemas.microsoft.com/office/drawing/2014/main" id="{7293FAD1-E870-4E5D-B4B2-B0969F23E62A}"/>
            </a:ext>
          </a:extLst>
        </xdr:cNvPr>
        <xdr:cNvSpPr/>
      </xdr:nvSpPr>
      <xdr:spPr>
        <a:xfrm>
          <a:off x="8438224" y="760233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56223</xdr:colOff>
      <xdr:row>37</xdr:row>
      <xdr:rowOff>859303</xdr:rowOff>
    </xdr:from>
    <xdr:to>
      <xdr:col>14</xdr:col>
      <xdr:colOff>26831</xdr:colOff>
      <xdr:row>37</xdr:row>
      <xdr:rowOff>1016569</xdr:rowOff>
    </xdr:to>
    <xdr:sp macro="" textlink="">
      <xdr:nvSpPr>
        <xdr:cNvPr id="32" name="Striped Right Arrow 46">
          <a:extLst>
            <a:ext uri="{FF2B5EF4-FFF2-40B4-BE49-F238E27FC236}">
              <a16:creationId xmlns:a16="http://schemas.microsoft.com/office/drawing/2014/main" id="{642D8125-A741-4D6C-889F-D004AD626C62}"/>
            </a:ext>
          </a:extLst>
        </xdr:cNvPr>
        <xdr:cNvSpPr/>
      </xdr:nvSpPr>
      <xdr:spPr>
        <a:xfrm>
          <a:off x="10114623" y="7603003"/>
          <a:ext cx="1647008"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38</xdr:row>
      <xdr:rowOff>0</xdr:rowOff>
    </xdr:from>
    <xdr:to>
      <xdr:col>8</xdr:col>
      <xdr:colOff>208397</xdr:colOff>
      <xdr:row>38</xdr:row>
      <xdr:rowOff>157266</xdr:rowOff>
    </xdr:to>
    <xdr:sp macro="" textlink="">
      <xdr:nvSpPr>
        <xdr:cNvPr id="33" name="Striped Right Arrow 42">
          <a:extLst>
            <a:ext uri="{FF2B5EF4-FFF2-40B4-BE49-F238E27FC236}">
              <a16:creationId xmlns:a16="http://schemas.microsoft.com/office/drawing/2014/main" id="{0B345558-D779-414B-968C-854F929E3AA8}"/>
            </a:ext>
          </a:extLst>
        </xdr:cNvPr>
        <xdr:cNvSpPr/>
      </xdr:nvSpPr>
      <xdr:spPr>
        <a:xfrm>
          <a:off x="6705600" y="76009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38</xdr:row>
      <xdr:rowOff>0</xdr:rowOff>
    </xdr:from>
    <xdr:to>
      <xdr:col>10</xdr:col>
      <xdr:colOff>208397</xdr:colOff>
      <xdr:row>38</xdr:row>
      <xdr:rowOff>157266</xdr:rowOff>
    </xdr:to>
    <xdr:sp macro="" textlink="">
      <xdr:nvSpPr>
        <xdr:cNvPr id="34" name="Striped Right Arrow 42">
          <a:extLst>
            <a:ext uri="{FF2B5EF4-FFF2-40B4-BE49-F238E27FC236}">
              <a16:creationId xmlns:a16="http://schemas.microsoft.com/office/drawing/2014/main" id="{8DEA9B8A-037F-40D7-A6C3-0840EE44686D}"/>
            </a:ext>
          </a:extLst>
        </xdr:cNvPr>
        <xdr:cNvSpPr/>
      </xdr:nvSpPr>
      <xdr:spPr>
        <a:xfrm>
          <a:off x="8382000" y="76009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48450</xdr:colOff>
      <xdr:row>37</xdr:row>
      <xdr:rowOff>859412</xdr:rowOff>
    </xdr:from>
    <xdr:to>
      <xdr:col>11</xdr:col>
      <xdr:colOff>28247</xdr:colOff>
      <xdr:row>37</xdr:row>
      <xdr:rowOff>1016678</xdr:rowOff>
    </xdr:to>
    <xdr:sp macro="" textlink="">
      <xdr:nvSpPr>
        <xdr:cNvPr id="35" name="Striped Right Arrow 36">
          <a:extLst>
            <a:ext uri="{FF2B5EF4-FFF2-40B4-BE49-F238E27FC236}">
              <a16:creationId xmlns:a16="http://schemas.microsoft.com/office/drawing/2014/main" id="{7226C2A7-8550-486D-A011-6CEF486D0F2D}"/>
            </a:ext>
          </a:extLst>
        </xdr:cNvPr>
        <xdr:cNvSpPr/>
      </xdr:nvSpPr>
      <xdr:spPr>
        <a:xfrm>
          <a:off x="8430450" y="760311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40676</xdr:colOff>
      <xdr:row>37</xdr:row>
      <xdr:rowOff>869717</xdr:rowOff>
    </xdr:from>
    <xdr:to>
      <xdr:col>5</xdr:col>
      <xdr:colOff>20473</xdr:colOff>
      <xdr:row>37</xdr:row>
      <xdr:rowOff>1026983</xdr:rowOff>
    </xdr:to>
    <xdr:sp macro="" textlink="">
      <xdr:nvSpPr>
        <xdr:cNvPr id="36" name="Striped Right Arrow 34">
          <a:extLst>
            <a:ext uri="{FF2B5EF4-FFF2-40B4-BE49-F238E27FC236}">
              <a16:creationId xmlns:a16="http://schemas.microsoft.com/office/drawing/2014/main" id="{F8D15AEE-D24B-4C0D-AF0F-394A372338B0}"/>
            </a:ext>
          </a:extLst>
        </xdr:cNvPr>
        <xdr:cNvSpPr/>
      </xdr:nvSpPr>
      <xdr:spPr>
        <a:xfrm>
          <a:off x="3393476" y="760389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48450</xdr:colOff>
      <xdr:row>37</xdr:row>
      <xdr:rowOff>859413</xdr:rowOff>
    </xdr:from>
    <xdr:to>
      <xdr:col>7</xdr:col>
      <xdr:colOff>28247</xdr:colOff>
      <xdr:row>37</xdr:row>
      <xdr:rowOff>1016679</xdr:rowOff>
    </xdr:to>
    <xdr:sp macro="" textlink="">
      <xdr:nvSpPr>
        <xdr:cNvPr id="37" name="Striped Right Arrow 35">
          <a:extLst>
            <a:ext uri="{FF2B5EF4-FFF2-40B4-BE49-F238E27FC236}">
              <a16:creationId xmlns:a16="http://schemas.microsoft.com/office/drawing/2014/main" id="{F7EA3E25-FE8E-4FCA-9489-8BB3FD9F94B4}"/>
            </a:ext>
          </a:extLst>
        </xdr:cNvPr>
        <xdr:cNvSpPr/>
      </xdr:nvSpPr>
      <xdr:spPr>
        <a:xfrm>
          <a:off x="5077650" y="760311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48450</xdr:colOff>
      <xdr:row>37</xdr:row>
      <xdr:rowOff>859412</xdr:rowOff>
    </xdr:from>
    <xdr:to>
      <xdr:col>9</xdr:col>
      <xdr:colOff>28247</xdr:colOff>
      <xdr:row>37</xdr:row>
      <xdr:rowOff>1016678</xdr:rowOff>
    </xdr:to>
    <xdr:sp macro="" textlink="">
      <xdr:nvSpPr>
        <xdr:cNvPr id="38" name="Striped Right Arrow 36">
          <a:extLst>
            <a:ext uri="{FF2B5EF4-FFF2-40B4-BE49-F238E27FC236}">
              <a16:creationId xmlns:a16="http://schemas.microsoft.com/office/drawing/2014/main" id="{423F8D33-23D9-4471-B02B-0610236BBE84}"/>
            </a:ext>
          </a:extLst>
        </xdr:cNvPr>
        <xdr:cNvSpPr/>
      </xdr:nvSpPr>
      <xdr:spPr>
        <a:xfrm>
          <a:off x="6754050" y="760311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56224</xdr:colOff>
      <xdr:row>37</xdr:row>
      <xdr:rowOff>849108</xdr:rowOff>
    </xdr:from>
    <xdr:to>
      <xdr:col>11</xdr:col>
      <xdr:colOff>36021</xdr:colOff>
      <xdr:row>37</xdr:row>
      <xdr:rowOff>1006374</xdr:rowOff>
    </xdr:to>
    <xdr:sp macro="" textlink="">
      <xdr:nvSpPr>
        <xdr:cNvPr id="39" name="Striped Right Arrow 37">
          <a:extLst>
            <a:ext uri="{FF2B5EF4-FFF2-40B4-BE49-F238E27FC236}">
              <a16:creationId xmlns:a16="http://schemas.microsoft.com/office/drawing/2014/main" id="{4437363D-7A03-4877-9166-61406F996D8C}"/>
            </a:ext>
          </a:extLst>
        </xdr:cNvPr>
        <xdr:cNvSpPr/>
      </xdr:nvSpPr>
      <xdr:spPr>
        <a:xfrm>
          <a:off x="8438224" y="7602333"/>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56223</xdr:colOff>
      <xdr:row>37</xdr:row>
      <xdr:rowOff>859303</xdr:rowOff>
    </xdr:from>
    <xdr:to>
      <xdr:col>14</xdr:col>
      <xdr:colOff>26831</xdr:colOff>
      <xdr:row>37</xdr:row>
      <xdr:rowOff>1016569</xdr:rowOff>
    </xdr:to>
    <xdr:sp macro="" textlink="">
      <xdr:nvSpPr>
        <xdr:cNvPr id="40" name="Striped Right Arrow 46">
          <a:extLst>
            <a:ext uri="{FF2B5EF4-FFF2-40B4-BE49-F238E27FC236}">
              <a16:creationId xmlns:a16="http://schemas.microsoft.com/office/drawing/2014/main" id="{01A66CC5-8D12-4159-9C96-BDDC88F75FED}"/>
            </a:ext>
          </a:extLst>
        </xdr:cNvPr>
        <xdr:cNvSpPr/>
      </xdr:nvSpPr>
      <xdr:spPr>
        <a:xfrm>
          <a:off x="10114623" y="7603003"/>
          <a:ext cx="1647008"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38</xdr:row>
      <xdr:rowOff>0</xdr:rowOff>
    </xdr:from>
    <xdr:to>
      <xdr:col>6</xdr:col>
      <xdr:colOff>208397</xdr:colOff>
      <xdr:row>38</xdr:row>
      <xdr:rowOff>157266</xdr:rowOff>
    </xdr:to>
    <xdr:sp macro="" textlink="">
      <xdr:nvSpPr>
        <xdr:cNvPr id="41" name="Striped Right Arrow 42">
          <a:extLst>
            <a:ext uri="{FF2B5EF4-FFF2-40B4-BE49-F238E27FC236}">
              <a16:creationId xmlns:a16="http://schemas.microsoft.com/office/drawing/2014/main" id="{C6FB1A85-6DE6-4FAD-90F6-8DEF692D321A}"/>
            </a:ext>
          </a:extLst>
        </xdr:cNvPr>
        <xdr:cNvSpPr/>
      </xdr:nvSpPr>
      <xdr:spPr>
        <a:xfrm>
          <a:off x="5029200" y="76009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38</xdr:row>
      <xdr:rowOff>0</xdr:rowOff>
    </xdr:from>
    <xdr:to>
      <xdr:col>8</xdr:col>
      <xdr:colOff>208397</xdr:colOff>
      <xdr:row>38</xdr:row>
      <xdr:rowOff>157266</xdr:rowOff>
    </xdr:to>
    <xdr:sp macro="" textlink="">
      <xdr:nvSpPr>
        <xdr:cNvPr id="42" name="Striped Right Arrow 42">
          <a:extLst>
            <a:ext uri="{FF2B5EF4-FFF2-40B4-BE49-F238E27FC236}">
              <a16:creationId xmlns:a16="http://schemas.microsoft.com/office/drawing/2014/main" id="{A4B96BF3-34A2-4C0A-9849-EA6027A9A026}"/>
            </a:ext>
          </a:extLst>
        </xdr:cNvPr>
        <xdr:cNvSpPr/>
      </xdr:nvSpPr>
      <xdr:spPr>
        <a:xfrm>
          <a:off x="6705600" y="76009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38</xdr:row>
      <xdr:rowOff>0</xdr:rowOff>
    </xdr:from>
    <xdr:to>
      <xdr:col>10</xdr:col>
      <xdr:colOff>208397</xdr:colOff>
      <xdr:row>38</xdr:row>
      <xdr:rowOff>157266</xdr:rowOff>
    </xdr:to>
    <xdr:sp macro="" textlink="">
      <xdr:nvSpPr>
        <xdr:cNvPr id="43" name="Striped Right Arrow 42">
          <a:extLst>
            <a:ext uri="{FF2B5EF4-FFF2-40B4-BE49-F238E27FC236}">
              <a16:creationId xmlns:a16="http://schemas.microsoft.com/office/drawing/2014/main" id="{DD76C7F7-7D95-4BBF-A456-23F4AA967DCC}"/>
            </a:ext>
          </a:extLst>
        </xdr:cNvPr>
        <xdr:cNvSpPr/>
      </xdr:nvSpPr>
      <xdr:spPr>
        <a:xfrm>
          <a:off x="8382000" y="7600950"/>
          <a:ext cx="208397" cy="157266"/>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48450</xdr:colOff>
      <xdr:row>37</xdr:row>
      <xdr:rowOff>859412</xdr:rowOff>
    </xdr:from>
    <xdr:to>
      <xdr:col>11</xdr:col>
      <xdr:colOff>28247</xdr:colOff>
      <xdr:row>37</xdr:row>
      <xdr:rowOff>1016678</xdr:rowOff>
    </xdr:to>
    <xdr:sp macro="" textlink="">
      <xdr:nvSpPr>
        <xdr:cNvPr id="44" name="Striped Right Arrow 36">
          <a:extLst>
            <a:ext uri="{FF2B5EF4-FFF2-40B4-BE49-F238E27FC236}">
              <a16:creationId xmlns:a16="http://schemas.microsoft.com/office/drawing/2014/main" id="{3E47242D-A211-42DE-B56C-B0367F1EF948}"/>
            </a:ext>
          </a:extLst>
        </xdr:cNvPr>
        <xdr:cNvSpPr/>
      </xdr:nvSpPr>
      <xdr:spPr>
        <a:xfrm>
          <a:off x="8430450" y="760311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40676</xdr:colOff>
      <xdr:row>22</xdr:row>
      <xdr:rowOff>869717</xdr:rowOff>
    </xdr:from>
    <xdr:to>
      <xdr:col>5</xdr:col>
      <xdr:colOff>20473</xdr:colOff>
      <xdr:row>22</xdr:row>
      <xdr:rowOff>1026983</xdr:rowOff>
    </xdr:to>
    <xdr:sp macro="" textlink="">
      <xdr:nvSpPr>
        <xdr:cNvPr id="45" name="Striped Right Arrow 34">
          <a:extLst>
            <a:ext uri="{FF2B5EF4-FFF2-40B4-BE49-F238E27FC236}">
              <a16:creationId xmlns:a16="http://schemas.microsoft.com/office/drawing/2014/main" id="{A89A7F6A-49D5-4468-8FCF-57B0D3023830}"/>
            </a:ext>
          </a:extLst>
        </xdr:cNvPr>
        <xdr:cNvSpPr/>
      </xdr:nvSpPr>
      <xdr:spPr>
        <a:xfrm>
          <a:off x="3393476" y="4603517"/>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40676</xdr:colOff>
      <xdr:row>37</xdr:row>
      <xdr:rowOff>869717</xdr:rowOff>
    </xdr:from>
    <xdr:to>
      <xdr:col>5</xdr:col>
      <xdr:colOff>20473</xdr:colOff>
      <xdr:row>37</xdr:row>
      <xdr:rowOff>1026983</xdr:rowOff>
    </xdr:to>
    <xdr:sp macro="" textlink="">
      <xdr:nvSpPr>
        <xdr:cNvPr id="46" name="Striped Right Arrow 34">
          <a:extLst>
            <a:ext uri="{FF2B5EF4-FFF2-40B4-BE49-F238E27FC236}">
              <a16:creationId xmlns:a16="http://schemas.microsoft.com/office/drawing/2014/main" id="{A4C3DD2E-8DD6-465D-824A-EFA87B4549FD}"/>
            </a:ext>
          </a:extLst>
        </xdr:cNvPr>
        <xdr:cNvSpPr/>
      </xdr:nvSpPr>
      <xdr:spPr>
        <a:xfrm>
          <a:off x="3393476" y="7603892"/>
          <a:ext cx="817997" cy="0"/>
        </a:xfrm>
        <a:prstGeom prst="stripedRightArrow">
          <a:avLst/>
        </a:prstGeom>
        <a:solidFill>
          <a:schemeClr val="bg2">
            <a:lumMod val="50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18</xdr:col>
      <xdr:colOff>869156</xdr:colOff>
      <xdr:row>2</xdr:row>
      <xdr:rowOff>202407</xdr:rowOff>
    </xdr:from>
    <xdr:ext cx="1516856" cy="697706"/>
    <xdr:pic>
      <xdr:nvPicPr>
        <xdr:cNvPr id="47" name="Picture 46">
          <a:extLst>
            <a:ext uri="{FF2B5EF4-FFF2-40B4-BE49-F238E27FC236}">
              <a16:creationId xmlns:a16="http://schemas.microsoft.com/office/drawing/2014/main" id="{004E0A31-C4E7-44E1-82B5-68E7BF48058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26187" y="785813"/>
          <a:ext cx="1516856" cy="697706"/>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_WDS%20A%20Data%20Current\__Wake%20Forest\_Initiatives\Benefits%20Realization%20Framework\AST-SPC-T-0001+Benefits+Realization+Tracking+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Amethysta\My%20Documents\New%20Folder\SIMM17C_Toolkit_v2009%2010%2023%20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HP_Administrator.Home\My%20Documents\PM%20Templates\critical-path-metho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Documents%20and%20Settings\dkoehnen\Local%20Settings\Temp\wzf580\Elance%20Projects\Donna%20Koehnan\Concep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PMO\Business%20Case%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First Sheet"/>
      <sheetName val="Summary"/>
      <sheetName val="Project A"/>
      <sheetName val="Project B"/>
      <sheetName val="Project C"/>
      <sheetName val="Project D"/>
      <sheetName val="Project E"/>
      <sheetName val="Codes"/>
    </sheetNames>
    <sheetDataSet>
      <sheetData sheetId="0"/>
      <sheetData sheetId="1">
        <row r="7">
          <cell r="A7" t="str">
            <v>FY 2017-18 Qtr 1</v>
          </cell>
          <cell r="B7">
            <v>42917</v>
          </cell>
          <cell r="C7">
            <v>43008</v>
          </cell>
        </row>
        <row r="10">
          <cell r="A10"/>
          <cell r="B10"/>
        </row>
        <row r="13">
          <cell r="A13"/>
          <cell r="B13"/>
        </row>
      </sheetData>
      <sheetData sheetId="2"/>
      <sheetData sheetId="3"/>
      <sheetData sheetId="4"/>
      <sheetData sheetId="5"/>
      <sheetData sheetId="6"/>
      <sheetData sheetId="7"/>
      <sheetData sheetId="8">
        <row r="5">
          <cell r="H5" t="str">
            <v>AF</v>
          </cell>
          <cell r="I5" t="str">
            <v>Administered Funds</v>
          </cell>
          <cell r="J5"/>
          <cell r="K5"/>
          <cell r="L5"/>
          <cell r="M5"/>
        </row>
        <row r="6">
          <cell r="A6" t="str">
            <v>Yes</v>
          </cell>
          <cell r="H6" t="str">
            <v>AHCA</v>
          </cell>
          <cell r="I6" t="str">
            <v>Agency for Health Care Administration</v>
          </cell>
          <cell r="J6"/>
          <cell r="K6"/>
          <cell r="L6"/>
          <cell r="M6"/>
        </row>
        <row r="7">
          <cell r="A7" t="str">
            <v>No</v>
          </cell>
          <cell r="H7" t="str">
            <v>APD</v>
          </cell>
          <cell r="I7" t="str">
            <v>Agency for Persons with Disabilities</v>
          </cell>
          <cell r="J7"/>
          <cell r="K7"/>
          <cell r="L7"/>
          <cell r="M7"/>
        </row>
        <row r="8">
          <cell r="H8" t="str">
            <v>BOG</v>
          </cell>
          <cell r="I8" t="str">
            <v>Board of Governors</v>
          </cell>
          <cell r="J8"/>
          <cell r="K8"/>
          <cell r="L8"/>
          <cell r="M8"/>
        </row>
        <row r="9">
          <cell r="H9" t="str">
            <v>CIT</v>
          </cell>
          <cell r="I9" t="str">
            <v>Citrus</v>
          </cell>
          <cell r="J9"/>
          <cell r="K9"/>
          <cell r="L9"/>
          <cell r="M9"/>
        </row>
        <row r="10">
          <cell r="A10" t="str">
            <v>Cancelled</v>
          </cell>
          <cell r="H10" t="str">
            <v>DBPR</v>
          </cell>
          <cell r="I10" t="str">
            <v>Dept. of Business &amp; Professional Regulation</v>
          </cell>
          <cell r="J10"/>
          <cell r="K10"/>
          <cell r="L10"/>
          <cell r="M10"/>
        </row>
        <row r="11">
          <cell r="A11" t="str">
            <v>Fully Realized</v>
          </cell>
          <cell r="H11" t="str">
            <v>DCF</v>
          </cell>
          <cell r="I11" t="str">
            <v>Dept. of Children &amp; Families</v>
          </cell>
          <cell r="J11"/>
          <cell r="K11"/>
          <cell r="L11"/>
          <cell r="M11"/>
        </row>
        <row r="12">
          <cell r="A12" t="str">
            <v>Partially Realized</v>
          </cell>
          <cell r="H12" t="str">
            <v>DEM</v>
          </cell>
          <cell r="I12" t="str">
            <v>Division of Emergency Management</v>
          </cell>
          <cell r="J12"/>
          <cell r="K12"/>
          <cell r="L12"/>
          <cell r="M12"/>
        </row>
        <row r="13">
          <cell r="A13" t="str">
            <v>None To-Date</v>
          </cell>
          <cell r="H13" t="str">
            <v>DEO</v>
          </cell>
          <cell r="I13" t="str">
            <v>Dept. of Economic Opportunity</v>
          </cell>
          <cell r="J13"/>
          <cell r="K13"/>
          <cell r="L13"/>
          <cell r="M13"/>
        </row>
        <row r="14">
          <cell r="H14" t="str">
            <v>DEP</v>
          </cell>
          <cell r="I14" t="str">
            <v>Dept. of Environmental Protection</v>
          </cell>
          <cell r="J14"/>
          <cell r="K14"/>
          <cell r="L14"/>
          <cell r="M14"/>
        </row>
        <row r="15">
          <cell r="H15" t="str">
            <v>DFS</v>
          </cell>
          <cell r="I15" t="str">
            <v>Dept. of Financial Services</v>
          </cell>
          <cell r="J15"/>
          <cell r="K15"/>
          <cell r="L15"/>
          <cell r="M15"/>
        </row>
        <row r="16">
          <cell r="A16" t="str">
            <v>AF</v>
          </cell>
          <cell r="B16" t="str">
            <v>Administered Funds</v>
          </cell>
          <cell r="C16"/>
          <cell r="D16"/>
          <cell r="E16"/>
          <cell r="H16" t="str">
            <v>DHSMV</v>
          </cell>
          <cell r="I16" t="str">
            <v>Dept. of Highway Safety &amp; Motor Vehicles</v>
          </cell>
          <cell r="J16"/>
          <cell r="K16"/>
          <cell r="L16"/>
          <cell r="M16"/>
        </row>
        <row r="17">
          <cell r="A17" t="str">
            <v>GGU</v>
          </cell>
          <cell r="B17" t="str">
            <v>General Government</v>
          </cell>
          <cell r="C17"/>
          <cell r="D17"/>
          <cell r="E17"/>
          <cell r="H17" t="str">
            <v>DJJ</v>
          </cell>
          <cell r="I17" t="str">
            <v>Dept. of Juvenile Justice</v>
          </cell>
          <cell r="J17"/>
          <cell r="K17"/>
          <cell r="L17"/>
          <cell r="M17"/>
        </row>
        <row r="18">
          <cell r="A18" t="str">
            <v>EDU</v>
          </cell>
          <cell r="B18" t="str">
            <v>Education</v>
          </cell>
          <cell r="C18"/>
          <cell r="D18"/>
          <cell r="E18"/>
          <cell r="H18" t="str">
            <v>DLA</v>
          </cell>
          <cell r="I18" t="str">
            <v>Dept. of Legal Affairs</v>
          </cell>
          <cell r="J18"/>
          <cell r="K18"/>
          <cell r="L18"/>
          <cell r="M18"/>
        </row>
        <row r="19">
          <cell r="A19" t="str">
            <v>ENV</v>
          </cell>
          <cell r="B19" t="str">
            <v>Environment and Natural Resources</v>
          </cell>
          <cell r="C19"/>
          <cell r="D19"/>
          <cell r="E19"/>
          <cell r="H19" t="str">
            <v>DMA</v>
          </cell>
          <cell r="I19" t="str">
            <v>Dept. of Military Affairs</v>
          </cell>
          <cell r="J19"/>
          <cell r="K19"/>
          <cell r="L19"/>
          <cell r="M19"/>
        </row>
        <row r="20">
          <cell r="A20" t="str">
            <v>HHS</v>
          </cell>
          <cell r="B20" t="str">
            <v>Health &amp; Human Services</v>
          </cell>
          <cell r="C20"/>
          <cell r="D20"/>
          <cell r="E20"/>
          <cell r="H20" t="str">
            <v>DMS</v>
          </cell>
          <cell r="I20" t="str">
            <v>Dept. of Management Services</v>
          </cell>
          <cell r="J20"/>
          <cell r="K20"/>
          <cell r="L20"/>
          <cell r="M20"/>
        </row>
        <row r="21">
          <cell r="A21" t="str">
            <v>PSU</v>
          </cell>
          <cell r="B21" t="str">
            <v xml:space="preserve">Public Safety </v>
          </cell>
          <cell r="C21"/>
          <cell r="D21"/>
          <cell r="E21"/>
          <cell r="H21" t="str">
            <v>DOACS</v>
          </cell>
          <cell r="I21" t="str">
            <v>Dept. of Agriculture and Consumer Services</v>
          </cell>
          <cell r="J21"/>
          <cell r="K21"/>
          <cell r="L21"/>
          <cell r="M21"/>
        </row>
        <row r="22">
          <cell r="A22" t="str">
            <v>TED</v>
          </cell>
          <cell r="B22" t="str">
            <v>Transportation and Economic Development</v>
          </cell>
          <cell r="C22"/>
          <cell r="D22"/>
          <cell r="E22"/>
          <cell r="H22" t="str">
            <v>DOE</v>
          </cell>
          <cell r="I22" t="str">
            <v>Dept. of Education</v>
          </cell>
          <cell r="J22"/>
          <cell r="K22"/>
          <cell r="L22"/>
          <cell r="M22"/>
        </row>
        <row r="23">
          <cell r="H23" t="str">
            <v>DOEA</v>
          </cell>
          <cell r="I23" t="str">
            <v>Dept. of Elder Affairs</v>
          </cell>
          <cell r="J23"/>
          <cell r="K23"/>
          <cell r="L23"/>
          <cell r="M23"/>
        </row>
        <row r="24">
          <cell r="H24" t="str">
            <v>DOH</v>
          </cell>
          <cell r="I24" t="str">
            <v>Dept. of Health</v>
          </cell>
          <cell r="J24"/>
          <cell r="K24"/>
          <cell r="L24"/>
          <cell r="M24"/>
        </row>
        <row r="25">
          <cell r="A25" t="str">
            <v>FY 2017-18 Qtr 1</v>
          </cell>
          <cell r="B25">
            <v>42917</v>
          </cell>
          <cell r="C25">
            <v>43008</v>
          </cell>
          <cell r="H25" t="str">
            <v>DOL</v>
          </cell>
          <cell r="I25" t="str">
            <v>Dept. of Lottery</v>
          </cell>
          <cell r="J25"/>
          <cell r="K25"/>
          <cell r="L25"/>
          <cell r="M25"/>
        </row>
        <row r="26">
          <cell r="A26" t="str">
            <v>FY 2017-18 Qtr 2</v>
          </cell>
          <cell r="B26">
            <v>43009</v>
          </cell>
          <cell r="C26">
            <v>43100</v>
          </cell>
          <cell r="H26" t="str">
            <v>DOR</v>
          </cell>
          <cell r="I26" t="str">
            <v>Dept. of Revenue</v>
          </cell>
          <cell r="J26"/>
          <cell r="K26"/>
          <cell r="L26"/>
          <cell r="M26"/>
        </row>
        <row r="27">
          <cell r="A27" t="str">
            <v>FY 2017-18 Qtr 3</v>
          </cell>
          <cell r="B27">
            <v>43101</v>
          </cell>
          <cell r="C27">
            <v>43190</v>
          </cell>
          <cell r="H27" t="str">
            <v>DOS</v>
          </cell>
          <cell r="I27" t="str">
            <v>Dept. of State</v>
          </cell>
          <cell r="J27"/>
          <cell r="K27"/>
          <cell r="L27"/>
          <cell r="M27"/>
        </row>
        <row r="28">
          <cell r="A28" t="str">
            <v>FY 2017-18 Qtr 4</v>
          </cell>
          <cell r="B28">
            <v>43191</v>
          </cell>
          <cell r="C28">
            <v>43281</v>
          </cell>
          <cell r="H28" t="str">
            <v>DOT</v>
          </cell>
          <cell r="I28" t="str">
            <v>Dept. of Transportation</v>
          </cell>
          <cell r="J28"/>
          <cell r="K28"/>
          <cell r="L28"/>
          <cell r="M28"/>
        </row>
        <row r="29">
          <cell r="H29" t="str">
            <v>FCHR</v>
          </cell>
          <cell r="I29" t="str">
            <v>Florida Commission on Human Relations</v>
          </cell>
          <cell r="J29"/>
          <cell r="K29"/>
          <cell r="L29"/>
          <cell r="M29"/>
        </row>
        <row r="30">
          <cell r="H30" t="str">
            <v>FCOR</v>
          </cell>
          <cell r="I30" t="str">
            <v>Florida Commission on Offender Review</v>
          </cell>
          <cell r="J30"/>
          <cell r="K30"/>
          <cell r="L30"/>
          <cell r="M30"/>
        </row>
        <row r="31">
          <cell r="H31" t="str">
            <v>FDC</v>
          </cell>
          <cell r="I31" t="str">
            <v>Florida Dept. of Corrections</v>
          </cell>
          <cell r="J31"/>
          <cell r="K31"/>
          <cell r="L31"/>
          <cell r="M31"/>
        </row>
        <row r="32">
          <cell r="H32" t="str">
            <v>FDLE</v>
          </cell>
          <cell r="I32" t="str">
            <v>Florida Dept. of Law Enforcement</v>
          </cell>
          <cell r="J32"/>
          <cell r="K32"/>
          <cell r="L32"/>
          <cell r="M32"/>
        </row>
        <row r="33">
          <cell r="A33" t="str">
            <v>First Sheet: Identify Agency and Reporting Period</v>
          </cell>
          <cell r="H33" t="str">
            <v>FDVA</v>
          </cell>
          <cell r="I33" t="str">
            <v>Florida Dept. of Veterans Affairs</v>
          </cell>
          <cell r="J33"/>
          <cell r="K33"/>
          <cell r="L33"/>
          <cell r="M33"/>
        </row>
        <row r="34">
          <cell r="H34" t="str">
            <v>FWC</v>
          </cell>
          <cell r="I34" t="str">
            <v>Fish and Wildlife Commission</v>
          </cell>
          <cell r="J34"/>
          <cell r="K34"/>
          <cell r="L34"/>
          <cell r="M34"/>
        </row>
        <row r="35">
          <cell r="H35" t="str">
            <v>GAL</v>
          </cell>
          <cell r="I35" t="str">
            <v>Guardian Ad Litem</v>
          </cell>
          <cell r="J35"/>
          <cell r="K35"/>
          <cell r="L35"/>
          <cell r="M35"/>
        </row>
        <row r="36">
          <cell r="A36" t="str">
            <v xml:space="preserve">Benefits Realization (BR) Tracking </v>
          </cell>
          <cell r="H36" t="str">
            <v>JAC</v>
          </cell>
          <cell r="I36" t="str">
            <v>Justice Administrative Commission</v>
          </cell>
          <cell r="J36"/>
          <cell r="K36"/>
          <cell r="L36"/>
          <cell r="M36"/>
        </row>
        <row r="37">
          <cell r="H37" t="str">
            <v>OEL</v>
          </cell>
          <cell r="I37" t="str">
            <v>Office of Early Learning</v>
          </cell>
          <cell r="J37"/>
          <cell r="K37"/>
          <cell r="L37"/>
          <cell r="M37"/>
        </row>
        <row r="38">
          <cell r="H38" t="str">
            <v>PSC</v>
          </cell>
          <cell r="I38" t="str">
            <v>Public Service Commission</v>
          </cell>
          <cell r="J38"/>
          <cell r="K38"/>
          <cell r="L38"/>
          <cell r="M38"/>
        </row>
        <row r="39">
          <cell r="A39" t="str">
            <v>Summary By Project</v>
          </cell>
          <cell r="H39" t="str">
            <v>SBE</v>
          </cell>
          <cell r="I39" t="str">
            <v>State Board of Education</v>
          </cell>
          <cell r="J39"/>
          <cell r="K39"/>
          <cell r="L39"/>
          <cell r="M39"/>
        </row>
        <row r="40">
          <cell r="H40" t="str">
            <v>SDB</v>
          </cell>
          <cell r="I40" t="str">
            <v>School for the Deaf and Blind</v>
          </cell>
          <cell r="J40"/>
          <cell r="K40"/>
          <cell r="L40"/>
          <cell r="M40"/>
        </row>
        <row r="42">
          <cell r="A42" t="str">
            <v>Project Input Sheet</v>
          </cell>
        </row>
        <row r="45">
          <cell r="A45" t="str">
            <v>Purpose and Instructions</v>
          </cell>
        </row>
        <row r="48">
          <cell r="A48" t="str">
            <v>Codes and Drop Down Menu Definitions</v>
          </cell>
        </row>
        <row r="51">
          <cell r="A51" t="str">
            <v>Please do not enter information in this worksheet. This sheet is populated directly from the project worksheets.</v>
          </cell>
        </row>
        <row r="53">
          <cell r="A53" t="str">
            <v>Increase row height as needed to view wrapped text when larger than the default cell size.</v>
          </cell>
        </row>
        <row r="55">
          <cell r="A55" t="str">
            <v>Please do not make any changes to this worksheet.</v>
          </cell>
        </row>
        <row r="57">
          <cell r="A57" t="str">
            <v>Note: For project information to be visible on this sheet, the Project name in column A must match the name on the associated project tab EXACTLY!</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For Costing"/>
      <sheetName val="DropDownMenus"/>
      <sheetName val="Meta Data"/>
      <sheetName val="Project Information"/>
      <sheetName val="M &amp; O"/>
      <sheetName val="Customer Acceptance"/>
      <sheetName val="Plan Updates"/>
      <sheetName val="Template Inventory"/>
      <sheetName val="Main Menu"/>
      <sheetName val="Closing"/>
      <sheetName val="PIER Costs - Last Approved"/>
      <sheetName val="PIER Costs - Comparison"/>
      <sheetName val="PIER Costs - Actual"/>
      <sheetName val="Final Lessons Learned"/>
      <sheetName val="Concept"/>
      <sheetName val="Size Estimating"/>
      <sheetName val="Prof Fees"/>
      <sheetName val="HW Costs"/>
      <sheetName val="SW Costs"/>
      <sheetName val="Misc Fees"/>
      <sheetName val="Work Months"/>
      <sheetName val="Effort Hours"/>
      <sheetName val="Concept Statement"/>
      <sheetName val="Initiating"/>
      <sheetName val="Issue Log"/>
      <sheetName val="Project Charter"/>
      <sheetName val="General Information"/>
      <sheetName val="Complexity Assessment"/>
      <sheetName val="Executing"/>
      <sheetName val="Benefit Validation"/>
      <sheetName val="Status Report"/>
      <sheetName val="Deliverable Acceptance Criteria"/>
      <sheetName val="PIER"/>
      <sheetName val="Formal Product Acceptance"/>
      <sheetName val="Team Effectiveness Survey"/>
      <sheetName val="Sponsorship Commitment Survey"/>
      <sheetName val="Planning"/>
      <sheetName val="Organizational Change Plan"/>
      <sheetName val="M &amp; O Transition Plan"/>
      <sheetName val="Project Management Plan"/>
      <sheetName val="Schedule Management Plan"/>
      <sheetName val="Cost Management Plan"/>
      <sheetName val="Quality Management Plan"/>
      <sheetName val="Communication Plan"/>
      <sheetName val="Human Resources Plan"/>
      <sheetName val="Control Management Plan"/>
      <sheetName val="Procurement Management Plan"/>
      <sheetName val="Contract Management Plan"/>
      <sheetName val="Acronyms"/>
      <sheetName val="Project Closure Checklist"/>
      <sheetName val="Scope Management Plan"/>
      <sheetName val="Risk Management Plan"/>
      <sheetName val="Scope Change Request"/>
      <sheetName val="High Level Project Org."/>
      <sheetName val="Project Priorities"/>
      <sheetName val="Assumptions &amp; Risks"/>
      <sheetName val="Stakeholders"/>
      <sheetName val="Project Charter Approv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M"/>
      <sheetName val="Holidays"/>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For Costing"/>
      <sheetName val="Concept"/>
      <sheetName val="Project Concept"/>
      <sheetName val="Exec Summ"/>
      <sheetName val="Value to Business"/>
      <sheetName val="ROI"/>
      <sheetName val="SW CAPEX"/>
      <sheetName val="Complexity"/>
      <sheetName val="Effort Distribution Estimating"/>
      <sheetName val="Deliverable Based Estimating"/>
      <sheetName val="Resource"/>
      <sheetName val="Estimates and Durations"/>
      <sheetName val="Deliverable Details"/>
      <sheetName val="SW CAPEX2"/>
      <sheetName val="Misc Fees2"/>
      <sheetName val="Prof Fees2"/>
      <sheetName val="Prof Fees"/>
      <sheetName val="Exec Summ-Additional (ASIA)"/>
      <sheetName val="Resource ASIA"/>
      <sheetName val="HW CAPEX2"/>
      <sheetName val="HW CAPEX"/>
      <sheetName val="Misc Fees"/>
      <sheetName val="Work Months"/>
      <sheetName val="Effort Hours"/>
      <sheetName val="Size"/>
      <sheetName val="Resource 2"/>
      <sheetName val="Delivery Milestones"/>
      <sheetName val="Complexity Old"/>
      <sheetName val="Comp"/>
      <sheetName val="Value to Business Code"/>
      <sheetName val="Exec Summ Desc"/>
      <sheetName val="Initiatives"/>
      <sheetName val="Cost Estimate"/>
      <sheetName val="Strategies"/>
      <sheetName val="IT Area_Owners"/>
      <sheetName val="IT Resource Areas"/>
      <sheetName val="Sheet2"/>
      <sheetName val="RolesLSUS"/>
      <sheetName val="RolesL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usiness Case"/>
      <sheetName val="Cost and Benefits Estimates"/>
      <sheetName val="Resource Estimates"/>
      <sheetName val="Value-Fit-Impact Scoring Model"/>
      <sheetName val="Risk Scoring Model"/>
      <sheetName val="Benefits Realization"/>
      <sheetName val="Alternative Analysis"/>
      <sheetName val="ITS PMO Tracking"/>
      <sheetName val="Project Type Definition "/>
      <sheetName val="Resource Groups"/>
      <sheetName val="Look"/>
      <sheetName val="SME Validation "/>
      <sheetName val="Resource Definitions "/>
      <sheetName val="Department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0">
          <cell r="B20" t="str">
            <v>Technology</v>
          </cell>
        </row>
        <row r="21">
          <cell r="B21" t="str">
            <v>Organizational</v>
          </cell>
        </row>
        <row r="22">
          <cell r="B22" t="str">
            <v>External</v>
          </cell>
        </row>
        <row r="23">
          <cell r="B23" t="str">
            <v>Vendor</v>
          </cell>
        </row>
        <row r="24">
          <cell r="B24" t="str">
            <v>Schedule</v>
          </cell>
        </row>
        <row r="25">
          <cell r="B25" t="str">
            <v>Scope</v>
          </cell>
        </row>
        <row r="26">
          <cell r="B26" t="str">
            <v>Cost</v>
          </cell>
        </row>
        <row r="32">
          <cell r="B32" t="str">
            <v xml:space="preserve">Almost Certain </v>
          </cell>
          <cell r="C32">
            <v>5</v>
          </cell>
        </row>
        <row r="33">
          <cell r="B33" t="str">
            <v xml:space="preserve">Likely </v>
          </cell>
          <cell r="C33">
            <v>4</v>
          </cell>
        </row>
        <row r="34">
          <cell r="B34" t="str">
            <v xml:space="preserve">Possible </v>
          </cell>
          <cell r="C34">
            <v>3</v>
          </cell>
        </row>
        <row r="35">
          <cell r="B35" t="str">
            <v>Unlikely</v>
          </cell>
          <cell r="C35">
            <v>2</v>
          </cell>
        </row>
        <row r="36">
          <cell r="B36" t="str">
            <v>Rare</v>
          </cell>
          <cell r="C36">
            <v>1</v>
          </cell>
        </row>
        <row r="39">
          <cell r="B39" t="str">
            <v>Severe</v>
          </cell>
          <cell r="C39">
            <v>5</v>
          </cell>
        </row>
        <row r="40">
          <cell r="B40" t="str">
            <v>Major</v>
          </cell>
          <cell r="C40">
            <v>4</v>
          </cell>
        </row>
        <row r="41">
          <cell r="B41" t="str">
            <v>Moderate</v>
          </cell>
          <cell r="C41">
            <v>3</v>
          </cell>
        </row>
        <row r="42">
          <cell r="B42" t="str">
            <v>Minor</v>
          </cell>
          <cell r="C42">
            <v>2</v>
          </cell>
        </row>
        <row r="43">
          <cell r="B43" t="str">
            <v>Insignificant</v>
          </cell>
          <cell r="C43">
            <v>1</v>
          </cell>
        </row>
      </sheetData>
    </sheetDataSet>
  </externalBook>
</externalLink>
</file>

<file path=xl/theme/theme1.xml><?xml version="1.0" encoding="utf-8"?>
<a:theme xmlns:a="http://schemas.openxmlformats.org/drawingml/2006/main" name="Office Theme">
  <a:themeElements>
    <a:clrScheme name="AHWFB">
      <a:dk1>
        <a:srgbClr val="767882"/>
      </a:dk1>
      <a:lt1>
        <a:sysClr val="window" lastClr="FFFFFF"/>
      </a:lt1>
      <a:dk2>
        <a:srgbClr val="000000"/>
      </a:dk2>
      <a:lt2>
        <a:srgbClr val="008C94"/>
      </a:lt2>
      <a:accent1>
        <a:srgbClr val="006C74"/>
      </a:accent1>
      <a:accent2>
        <a:srgbClr val="E5B801"/>
      </a:accent2>
      <a:accent3>
        <a:srgbClr val="004797"/>
      </a:accent3>
      <a:accent4>
        <a:srgbClr val="04BB6E"/>
      </a:accent4>
      <a:accent5>
        <a:srgbClr val="FF7D2E"/>
      </a:accent5>
      <a:accent6>
        <a:srgbClr val="E4333A"/>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pageSetUpPr fitToPage="1"/>
  </sheetPr>
  <dimension ref="A1:AY79"/>
  <sheetViews>
    <sheetView showGridLines="0" tabSelected="1" topLeftCell="A4" workbookViewId="0">
      <selection activeCell="M10" sqref="M10:N10"/>
    </sheetView>
  </sheetViews>
  <sheetFormatPr defaultRowHeight="15" x14ac:dyDescent="0.25"/>
  <cols>
    <col min="1" max="1" width="11.5703125" style="261" customWidth="1"/>
    <col min="2" max="2" width="10.140625" style="261" customWidth="1"/>
    <col min="3" max="10" width="9.140625" style="261" customWidth="1"/>
    <col min="11" max="12" width="9.140625" style="261"/>
    <col min="13" max="14" width="9.140625" style="260"/>
    <col min="15" max="15" width="2.140625" style="222" customWidth="1"/>
    <col min="16" max="25" width="9.140625" style="222"/>
    <col min="26" max="27" width="9.140625" style="222" hidden="1" customWidth="1"/>
    <col min="28" max="50" width="9.140625" style="222"/>
    <col min="51" max="51" width="9.140625" style="223"/>
    <col min="52" max="16384" width="9.140625" style="222"/>
  </cols>
  <sheetData>
    <row r="1" spans="1:51" ht="20.25" x14ac:dyDescent="0.25">
      <c r="A1" s="326" t="s">
        <v>361</v>
      </c>
      <c r="B1" s="326"/>
      <c r="C1" s="326"/>
      <c r="D1" s="326"/>
      <c r="E1" s="326"/>
      <c r="F1" s="326"/>
      <c r="G1" s="326"/>
      <c r="H1" s="326"/>
      <c r="I1" s="326"/>
      <c r="J1" s="326"/>
      <c r="K1" s="326"/>
      <c r="L1" s="326"/>
      <c r="M1" s="326"/>
      <c r="N1" s="326"/>
    </row>
    <row r="2" spans="1:51" ht="5.25" customHeight="1" x14ac:dyDescent="0.25">
      <c r="A2" s="224"/>
      <c r="B2" s="224"/>
      <c r="C2" s="224"/>
      <c r="D2" s="224"/>
      <c r="E2" s="224"/>
      <c r="F2" s="224"/>
      <c r="G2" s="224"/>
      <c r="H2" s="224"/>
      <c r="I2" s="224"/>
      <c r="J2" s="224"/>
      <c r="K2" s="224"/>
      <c r="L2" s="224"/>
      <c r="M2" s="225"/>
      <c r="N2" s="225"/>
      <c r="AY2" s="223" t="s">
        <v>0</v>
      </c>
    </row>
    <row r="3" spans="1:51" x14ac:dyDescent="0.25">
      <c r="A3" s="291" t="s">
        <v>1</v>
      </c>
      <c r="B3" s="292"/>
      <c r="C3" s="330">
        <v>44608</v>
      </c>
      <c r="D3" s="330"/>
      <c r="E3" s="226"/>
      <c r="F3" s="226"/>
      <c r="G3" s="226"/>
      <c r="H3" s="226"/>
      <c r="I3" s="224"/>
      <c r="J3" s="224"/>
      <c r="K3" s="224"/>
      <c r="L3" s="224"/>
      <c r="M3" s="225"/>
      <c r="N3" s="225"/>
      <c r="AY3" s="223" t="s">
        <v>2</v>
      </c>
    </row>
    <row r="4" spans="1:51" ht="15" customHeight="1" x14ac:dyDescent="0.25">
      <c r="A4" s="291" t="s">
        <v>3</v>
      </c>
      <c r="B4" s="292"/>
      <c r="C4" s="299" t="s">
        <v>377</v>
      </c>
      <c r="D4" s="299"/>
      <c r="E4" s="299"/>
      <c r="F4" s="299"/>
      <c r="G4" s="299"/>
      <c r="H4" s="299"/>
      <c r="I4" s="227"/>
      <c r="J4" s="227"/>
      <c r="K4" s="227"/>
      <c r="L4" s="224" t="s">
        <v>4</v>
      </c>
      <c r="M4" s="327"/>
      <c r="N4" s="328"/>
      <c r="AY4" s="223" t="s">
        <v>5</v>
      </c>
    </row>
    <row r="5" spans="1:51" x14ac:dyDescent="0.25">
      <c r="A5" s="240"/>
      <c r="B5" s="240"/>
      <c r="C5" s="224"/>
      <c r="D5" s="224"/>
      <c r="E5" s="224"/>
      <c r="F5" s="224"/>
      <c r="G5" s="224"/>
      <c r="H5" s="224"/>
      <c r="I5" s="227"/>
      <c r="J5" s="227"/>
      <c r="K5" s="227"/>
      <c r="L5" s="224" t="s">
        <v>362</v>
      </c>
      <c r="M5" s="327"/>
      <c r="N5" s="328"/>
      <c r="AY5" s="223" t="s">
        <v>6</v>
      </c>
    </row>
    <row r="6" spans="1:51" ht="15" customHeight="1" x14ac:dyDescent="0.25">
      <c r="A6" s="291" t="s">
        <v>7</v>
      </c>
      <c r="B6" s="295"/>
      <c r="C6" s="300" t="s">
        <v>378</v>
      </c>
      <c r="D6" s="301"/>
      <c r="E6" s="301"/>
      <c r="F6" s="301"/>
      <c r="G6" s="301"/>
      <c r="H6" s="302"/>
      <c r="I6" s="227"/>
      <c r="J6" s="227"/>
      <c r="K6" s="227"/>
      <c r="L6" s="227"/>
      <c r="M6" s="225"/>
      <c r="N6" s="225"/>
      <c r="AY6" s="223" t="s">
        <v>8</v>
      </c>
    </row>
    <row r="7" spans="1:51" x14ac:dyDescent="0.25">
      <c r="A7" s="240"/>
      <c r="B7" s="240"/>
      <c r="C7" s="303"/>
      <c r="D7" s="304"/>
      <c r="E7" s="304"/>
      <c r="F7" s="304"/>
      <c r="G7" s="304"/>
      <c r="H7" s="305"/>
      <c r="I7" s="325" t="s">
        <v>9</v>
      </c>
      <c r="J7" s="291"/>
      <c r="K7" s="292"/>
      <c r="L7" s="331" t="s">
        <v>387</v>
      </c>
      <c r="M7" s="331"/>
      <c r="N7" s="331"/>
    </row>
    <row r="8" spans="1:51" x14ac:dyDescent="0.25">
      <c r="A8" s="240"/>
      <c r="B8" s="240"/>
      <c r="C8" s="303"/>
      <c r="D8" s="304"/>
      <c r="E8" s="304"/>
      <c r="F8" s="304"/>
      <c r="G8" s="304"/>
      <c r="H8" s="305"/>
      <c r="I8" s="325" t="s">
        <v>363</v>
      </c>
      <c r="J8" s="291"/>
      <c r="K8" s="292"/>
      <c r="L8" s="327" t="s">
        <v>422</v>
      </c>
      <c r="M8" s="329"/>
      <c r="N8" s="328"/>
      <c r="AY8" s="223" t="s">
        <v>0</v>
      </c>
    </row>
    <row r="9" spans="1:51" s="231" customFormat="1" ht="52.5" customHeight="1" x14ac:dyDescent="0.25">
      <c r="A9" s="233"/>
      <c r="B9" s="233"/>
      <c r="C9" s="306"/>
      <c r="D9" s="307"/>
      <c r="E9" s="307"/>
      <c r="F9" s="307"/>
      <c r="G9" s="307"/>
      <c r="H9" s="308"/>
      <c r="I9" s="228"/>
      <c r="J9" s="228"/>
      <c r="K9" s="229"/>
      <c r="L9" s="230"/>
      <c r="M9" s="230"/>
      <c r="N9" s="230"/>
      <c r="AY9" s="232"/>
    </row>
    <row r="10" spans="1:51" x14ac:dyDescent="0.25">
      <c r="A10" s="224"/>
      <c r="B10" s="224"/>
      <c r="C10" s="224"/>
      <c r="D10" s="224"/>
      <c r="E10" s="224"/>
      <c r="F10" s="224"/>
      <c r="G10" s="224"/>
      <c r="H10" s="224"/>
      <c r="I10" s="224"/>
      <c r="J10" s="291" t="s">
        <v>10</v>
      </c>
      <c r="K10" s="291"/>
      <c r="L10" s="292"/>
      <c r="M10" s="293">
        <v>44596</v>
      </c>
      <c r="N10" s="294"/>
      <c r="AY10" s="223" t="s">
        <v>11</v>
      </c>
    </row>
    <row r="11" spans="1:51" x14ac:dyDescent="0.25">
      <c r="A11" s="291" t="s">
        <v>12</v>
      </c>
      <c r="B11" s="295"/>
      <c r="C11" s="300" t="s">
        <v>379</v>
      </c>
      <c r="D11" s="301"/>
      <c r="E11" s="301"/>
      <c r="F11" s="301"/>
      <c r="G11" s="301"/>
      <c r="H11" s="302"/>
      <c r="I11" s="227"/>
      <c r="J11" s="291" t="s">
        <v>351</v>
      </c>
      <c r="K11" s="291"/>
      <c r="L11" s="292"/>
      <c r="M11" s="293">
        <v>44593</v>
      </c>
      <c r="N11" s="294"/>
      <c r="AY11" s="223" t="s">
        <v>13</v>
      </c>
    </row>
    <row r="12" spans="1:51" x14ac:dyDescent="0.25">
      <c r="A12" s="291" t="s">
        <v>364</v>
      </c>
      <c r="B12" s="295"/>
      <c r="C12" s="303"/>
      <c r="D12" s="304"/>
      <c r="E12" s="304"/>
      <c r="F12" s="304"/>
      <c r="G12" s="304"/>
      <c r="H12" s="305"/>
      <c r="I12" s="227"/>
      <c r="J12" s="291" t="s">
        <v>14</v>
      </c>
      <c r="K12" s="291"/>
      <c r="L12" s="292"/>
      <c r="M12" s="309">
        <v>44682</v>
      </c>
      <c r="N12" s="309"/>
    </row>
    <row r="13" spans="1:51" s="231" customFormat="1" x14ac:dyDescent="0.25">
      <c r="A13" s="233"/>
      <c r="B13" s="234"/>
      <c r="C13" s="306"/>
      <c r="D13" s="307"/>
      <c r="E13" s="307"/>
      <c r="F13" s="307"/>
      <c r="G13" s="307"/>
      <c r="H13" s="308"/>
      <c r="I13" s="228"/>
      <c r="J13" s="291" t="s">
        <v>346</v>
      </c>
      <c r="K13" s="291"/>
      <c r="L13" s="292"/>
      <c r="M13" s="309">
        <v>44805</v>
      </c>
      <c r="N13" s="309"/>
      <c r="AY13" s="232"/>
    </row>
    <row r="14" spans="1:51" s="237" customFormat="1" x14ac:dyDescent="0.25">
      <c r="A14" s="298" t="s">
        <v>15</v>
      </c>
      <c r="B14" s="298"/>
      <c r="C14" s="235"/>
      <c r="D14" s="235"/>
      <c r="E14" s="235"/>
      <c r="F14" s="235"/>
      <c r="G14" s="235"/>
      <c r="H14" s="235"/>
      <c r="I14" s="224"/>
      <c r="J14" s="224"/>
      <c r="K14" s="224"/>
      <c r="L14" s="224"/>
      <c r="M14" s="236"/>
      <c r="N14" s="236"/>
      <c r="AY14" s="238"/>
    </row>
    <row r="15" spans="1:51" x14ac:dyDescent="0.25">
      <c r="A15" s="298"/>
      <c r="B15" s="298"/>
      <c r="C15" s="239" t="s">
        <v>13</v>
      </c>
      <c r="D15" s="235"/>
      <c r="E15" s="227"/>
      <c r="F15" s="240" t="s">
        <v>16</v>
      </c>
      <c r="G15" s="239" t="s">
        <v>11</v>
      </c>
      <c r="H15" s="235"/>
      <c r="I15" s="240"/>
      <c r="J15" s="240" t="s">
        <v>17</v>
      </c>
      <c r="K15" s="239" t="s">
        <v>13</v>
      </c>
      <c r="L15" s="224"/>
      <c r="M15" s="241" t="s">
        <v>18</v>
      </c>
      <c r="N15" s="242" t="str">
        <f>'Impact Scoring'!D19</f>
        <v>Medium</v>
      </c>
    </row>
    <row r="16" spans="1:51" s="237" customFormat="1" x14ac:dyDescent="0.25">
      <c r="A16" s="298"/>
      <c r="B16" s="298"/>
      <c r="C16" s="235"/>
      <c r="D16" s="235"/>
      <c r="E16" s="235"/>
      <c r="F16" s="240" t="s">
        <v>19</v>
      </c>
      <c r="G16" s="243" t="s">
        <v>13</v>
      </c>
      <c r="H16" s="235"/>
      <c r="I16" s="224"/>
      <c r="J16" s="263" t="s">
        <v>20</v>
      </c>
      <c r="K16" s="224"/>
      <c r="L16" s="224"/>
      <c r="M16" s="241" t="s">
        <v>21</v>
      </c>
      <c r="N16" s="242">
        <f>M31+M33+M35</f>
        <v>16</v>
      </c>
      <c r="AY16" s="238"/>
    </row>
    <row r="17" spans="1:51" s="237" customFormat="1" ht="3" customHeight="1" x14ac:dyDescent="0.25">
      <c r="A17" s="224"/>
      <c r="B17" s="240"/>
      <c r="C17" s="235"/>
      <c r="D17" s="235"/>
      <c r="E17" s="235"/>
      <c r="F17" s="240"/>
      <c r="G17" s="244"/>
      <c r="H17" s="235"/>
      <c r="I17" s="224"/>
      <c r="J17" s="262"/>
      <c r="K17" s="224"/>
      <c r="L17" s="224"/>
      <c r="M17" s="241"/>
      <c r="N17" s="245"/>
      <c r="AY17" s="238"/>
    </row>
    <row r="18" spans="1:51" s="237" customFormat="1" x14ac:dyDescent="0.25">
      <c r="A18" s="291" t="s">
        <v>22</v>
      </c>
      <c r="B18" s="291"/>
      <c r="C18" s="291"/>
      <c r="D18" s="310" t="str">
        <f>IF(K15="Yes",Hidden!A4,IF(C15="Yes",Hidden!A2,IF('Intake Form'!G15="Yes",Hidden!A3,IF('Intake Form'!G16="Yes",Hidden!A4,"N/A"))))</f>
        <v>CEO Council (CEOC)</v>
      </c>
      <c r="E18" s="311"/>
      <c r="F18" s="311"/>
      <c r="G18" s="311"/>
      <c r="H18" s="312"/>
      <c r="I18" s="224"/>
      <c r="J18" s="262"/>
      <c r="K18" s="224"/>
      <c r="L18" s="224"/>
      <c r="M18" s="241" t="s">
        <v>23</v>
      </c>
      <c r="N18" s="242" t="str">
        <f>IF('Resource Estimates'!T33&lt;41,"XS",IF('Resource Estimates'!T33&lt;81,"S",IF('Resource Estimates'!T33&lt;201,"M",IF('Resource Estimates'!T33&lt;501,"L",IF('Resource Estimates'!T33&gt;500,"XL","N/A")))))</f>
        <v>L</v>
      </c>
      <c r="AY18" s="238"/>
    </row>
    <row r="19" spans="1:51" ht="14.25" x14ac:dyDescent="0.2">
      <c r="A19" s="106"/>
      <c r="B19" s="106"/>
      <c r="C19" s="106"/>
      <c r="D19" s="106"/>
      <c r="E19" s="106"/>
      <c r="F19" s="106"/>
      <c r="G19" s="106"/>
      <c r="H19" s="106"/>
      <c r="I19" s="106"/>
      <c r="J19" s="106"/>
      <c r="K19" s="106"/>
      <c r="L19" s="106"/>
      <c r="M19" s="106"/>
      <c r="N19" s="106"/>
      <c r="AY19" s="222"/>
    </row>
    <row r="20" spans="1:51" ht="15" customHeight="1" x14ac:dyDescent="0.25">
      <c r="A20" s="296" t="s">
        <v>24</v>
      </c>
      <c r="B20" s="297"/>
      <c r="C20" s="299" t="s">
        <v>380</v>
      </c>
      <c r="D20" s="299"/>
      <c r="E20" s="299"/>
      <c r="F20" s="299"/>
      <c r="G20" s="299"/>
      <c r="H20" s="299"/>
      <c r="I20" s="299"/>
      <c r="J20" s="299"/>
      <c r="K20" s="299"/>
      <c r="L20" s="299"/>
      <c r="M20" s="299"/>
      <c r="N20" s="299"/>
    </row>
    <row r="21" spans="1:51" x14ac:dyDescent="0.25">
      <c r="A21" s="224"/>
      <c r="B21" s="224"/>
      <c r="C21" s="299"/>
      <c r="D21" s="299"/>
      <c r="E21" s="299"/>
      <c r="F21" s="299"/>
      <c r="G21" s="299"/>
      <c r="H21" s="299"/>
      <c r="I21" s="299"/>
      <c r="J21" s="299"/>
      <c r="K21" s="299"/>
      <c r="L21" s="299"/>
      <c r="M21" s="299"/>
      <c r="N21" s="299"/>
      <c r="AY21" s="223" t="s">
        <v>0</v>
      </c>
    </row>
    <row r="22" spans="1:51" x14ac:dyDescent="0.25">
      <c r="A22" s="224"/>
      <c r="B22" s="224"/>
      <c r="C22" s="299"/>
      <c r="D22" s="299"/>
      <c r="E22" s="299"/>
      <c r="F22" s="299"/>
      <c r="G22" s="299"/>
      <c r="H22" s="299"/>
      <c r="I22" s="299"/>
      <c r="J22" s="299"/>
      <c r="K22" s="299"/>
      <c r="L22" s="299"/>
      <c r="M22" s="299"/>
      <c r="N22" s="299"/>
    </row>
    <row r="23" spans="1:51" ht="15" customHeight="1" x14ac:dyDescent="0.25">
      <c r="A23" s="296" t="s">
        <v>25</v>
      </c>
      <c r="B23" s="297"/>
      <c r="C23" s="299" t="s">
        <v>381</v>
      </c>
      <c r="D23" s="299"/>
      <c r="E23" s="299"/>
      <c r="F23" s="299"/>
      <c r="G23" s="299"/>
      <c r="H23" s="299"/>
      <c r="I23" s="299"/>
      <c r="J23" s="299"/>
      <c r="K23" s="299"/>
      <c r="L23" s="299"/>
      <c r="M23" s="299"/>
      <c r="N23" s="299"/>
    </row>
    <row r="24" spans="1:51" x14ac:dyDescent="0.25">
      <c r="A24" s="224"/>
      <c r="B24" s="224"/>
      <c r="C24" s="299"/>
      <c r="D24" s="299"/>
      <c r="E24" s="299"/>
      <c r="F24" s="299"/>
      <c r="G24" s="299"/>
      <c r="H24" s="299"/>
      <c r="I24" s="299"/>
      <c r="J24" s="299"/>
      <c r="K24" s="299"/>
      <c r="L24" s="299"/>
      <c r="M24" s="299"/>
      <c r="N24" s="299"/>
    </row>
    <row r="25" spans="1:51" x14ac:dyDescent="0.25">
      <c r="A25" s="224"/>
      <c r="B25" s="224"/>
      <c r="C25" s="299"/>
      <c r="D25" s="299"/>
      <c r="E25" s="299"/>
      <c r="F25" s="299"/>
      <c r="G25" s="299"/>
      <c r="H25" s="299"/>
      <c r="I25" s="299"/>
      <c r="J25" s="299"/>
      <c r="K25" s="299"/>
      <c r="L25" s="299"/>
      <c r="M25" s="299"/>
      <c r="N25" s="299"/>
    </row>
    <row r="26" spans="1:51" x14ac:dyDescent="0.25">
      <c r="A26" s="224"/>
      <c r="B26" s="224"/>
      <c r="C26" s="299"/>
      <c r="D26" s="299"/>
      <c r="E26" s="299"/>
      <c r="F26" s="299"/>
      <c r="G26" s="299"/>
      <c r="H26" s="299"/>
      <c r="I26" s="299"/>
      <c r="J26" s="299"/>
      <c r="K26" s="299"/>
      <c r="L26" s="299"/>
      <c r="M26" s="299"/>
      <c r="N26" s="299"/>
    </row>
    <row r="27" spans="1:51" s="237" customFormat="1" ht="4.5" customHeight="1" x14ac:dyDescent="0.25">
      <c r="A27" s="224"/>
      <c r="B27" s="224"/>
      <c r="C27" s="224"/>
      <c r="D27" s="236"/>
      <c r="E27" s="236"/>
      <c r="F27" s="224"/>
      <c r="G27" s="224"/>
      <c r="H27" s="224"/>
      <c r="I27" s="235"/>
      <c r="J27" s="235"/>
      <c r="K27" s="235"/>
      <c r="L27" s="235"/>
      <c r="M27" s="246"/>
      <c r="N27" s="246"/>
      <c r="AY27" s="238"/>
    </row>
    <row r="28" spans="1:51" ht="7.5" customHeight="1" x14ac:dyDescent="0.25">
      <c r="A28" s="247"/>
      <c r="B28" s="247"/>
      <c r="C28" s="247"/>
      <c r="D28" s="247"/>
      <c r="E28" s="247"/>
      <c r="F28" s="247"/>
      <c r="G28" s="247"/>
      <c r="H28" s="247"/>
      <c r="I28" s="247"/>
      <c r="J28" s="247"/>
      <c r="K28" s="247"/>
      <c r="L28" s="247"/>
      <c r="M28" s="247"/>
      <c r="N28" s="247"/>
    </row>
    <row r="29" spans="1:51" ht="4.5" customHeight="1" x14ac:dyDescent="0.25">
      <c r="A29" s="248"/>
      <c r="B29" s="106"/>
      <c r="C29" s="106"/>
      <c r="D29" s="106"/>
      <c r="E29" s="106"/>
      <c r="F29" s="106"/>
      <c r="G29" s="106"/>
      <c r="H29" s="106"/>
      <c r="I29" s="106"/>
      <c r="J29" s="106"/>
      <c r="K29" s="106"/>
      <c r="L29" s="106"/>
      <c r="M29" s="106"/>
      <c r="N29" s="106"/>
      <c r="AY29" s="222"/>
    </row>
    <row r="30" spans="1:51" ht="15" customHeight="1" x14ac:dyDescent="0.25">
      <c r="A30" s="335" t="s">
        <v>26</v>
      </c>
      <c r="B30" s="336"/>
      <c r="C30" s="336"/>
      <c r="D30" s="336"/>
      <c r="E30" s="336"/>
      <c r="F30" s="337"/>
      <c r="G30" s="334" t="s">
        <v>27</v>
      </c>
      <c r="H30" s="334"/>
      <c r="I30" s="334" t="s">
        <v>28</v>
      </c>
      <c r="J30" s="334"/>
      <c r="K30" s="334" t="s">
        <v>18</v>
      </c>
      <c r="L30" s="334"/>
      <c r="M30" s="334" t="s">
        <v>29</v>
      </c>
      <c r="N30" s="334"/>
      <c r="Z30" s="222" t="s">
        <v>28</v>
      </c>
      <c r="AA30" s="222" t="s">
        <v>18</v>
      </c>
      <c r="AY30" s="222"/>
    </row>
    <row r="31" spans="1:51" ht="15" customHeight="1" x14ac:dyDescent="0.2">
      <c r="A31" s="344" t="s">
        <v>382</v>
      </c>
      <c r="B31" s="345"/>
      <c r="C31" s="345"/>
      <c r="D31" s="345"/>
      <c r="E31" s="345"/>
      <c r="F31" s="346"/>
      <c r="G31" s="350" t="s">
        <v>383</v>
      </c>
      <c r="H31" s="351"/>
      <c r="I31" s="350" t="s">
        <v>384</v>
      </c>
      <c r="J31" s="351"/>
      <c r="K31" s="350" t="s">
        <v>385</v>
      </c>
      <c r="L31" s="351"/>
      <c r="M31" s="354">
        <f>IFERROR(Z31*AA31, 0)</f>
        <v>16</v>
      </c>
      <c r="N31" s="355"/>
      <c r="Z31" s="343">
        <f>IF(I31="Almost Certain", 5, IF(I31="Likely", 4, IF(I31="Possible", 3, IF(I31="Unlikely", 2, IF(I31="Rare",1, "N/A")))))</f>
        <v>4</v>
      </c>
      <c r="AA31" s="343">
        <f>IF(K31="Severe", 5, IF(K31="Major", 4, IF(K31="Moderate", 3, IF(K31="Minor", 2, IF(K31="Insignificant",1, "N/A")))))</f>
        <v>4</v>
      </c>
      <c r="AY31" s="222"/>
    </row>
    <row r="32" spans="1:51" ht="15" customHeight="1" x14ac:dyDescent="0.2">
      <c r="A32" s="347"/>
      <c r="B32" s="348"/>
      <c r="C32" s="348"/>
      <c r="D32" s="348"/>
      <c r="E32" s="348"/>
      <c r="F32" s="349"/>
      <c r="G32" s="352"/>
      <c r="H32" s="353"/>
      <c r="I32" s="352"/>
      <c r="J32" s="353"/>
      <c r="K32" s="352"/>
      <c r="L32" s="353"/>
      <c r="M32" s="356"/>
      <c r="N32" s="357"/>
      <c r="Z32" s="343"/>
      <c r="AA32" s="343"/>
      <c r="AY32" s="222"/>
    </row>
    <row r="33" spans="1:51" ht="15" customHeight="1" x14ac:dyDescent="0.2">
      <c r="A33" s="344"/>
      <c r="B33" s="345"/>
      <c r="C33" s="345"/>
      <c r="D33" s="345"/>
      <c r="E33" s="345"/>
      <c r="F33" s="346"/>
      <c r="G33" s="350"/>
      <c r="H33" s="351"/>
      <c r="I33" s="350"/>
      <c r="J33" s="351"/>
      <c r="K33" s="350"/>
      <c r="L33" s="351"/>
      <c r="M33" s="354">
        <f t="shared" ref="M33" si="0">IFERROR(Z33*AA33, 0)</f>
        <v>0</v>
      </c>
      <c r="N33" s="355"/>
      <c r="Z33" s="343" t="str">
        <f>IF(I33="Almost Certain", 5, IF(I33="Likely", 4, IF(I33="Possible", 3, IF(I33="Unlikely", 2, IF(I33="Rare",1, "N/A")))))</f>
        <v>N/A</v>
      </c>
      <c r="AA33" s="343" t="str">
        <f t="shared" ref="AA33" si="1">IF(K33="Severe", 5, IF(K33="Major", 4, IF(K33="Moderate", 3, IF(K33="Minor", 2, IF(K33="Insignificant",1, "N/A")))))</f>
        <v>N/A</v>
      </c>
      <c r="AY33" s="222"/>
    </row>
    <row r="34" spans="1:51" ht="15" customHeight="1" x14ac:dyDescent="0.2">
      <c r="A34" s="347"/>
      <c r="B34" s="348"/>
      <c r="C34" s="348"/>
      <c r="D34" s="348"/>
      <c r="E34" s="348"/>
      <c r="F34" s="349"/>
      <c r="G34" s="352"/>
      <c r="H34" s="353"/>
      <c r="I34" s="352"/>
      <c r="J34" s="353"/>
      <c r="K34" s="352"/>
      <c r="L34" s="353"/>
      <c r="M34" s="356"/>
      <c r="N34" s="357"/>
      <c r="Z34" s="343"/>
      <c r="AA34" s="343"/>
      <c r="AY34" s="222"/>
    </row>
    <row r="35" spans="1:51" ht="15" customHeight="1" x14ac:dyDescent="0.2">
      <c r="A35" s="344"/>
      <c r="B35" s="345"/>
      <c r="C35" s="345"/>
      <c r="D35" s="345"/>
      <c r="E35" s="345"/>
      <c r="F35" s="346"/>
      <c r="G35" s="350"/>
      <c r="H35" s="351"/>
      <c r="I35" s="350"/>
      <c r="J35" s="351"/>
      <c r="K35" s="350"/>
      <c r="L35" s="351"/>
      <c r="M35" s="354">
        <f t="shared" ref="M35" si="2">IFERROR(Z35*AA35, 0)</f>
        <v>0</v>
      </c>
      <c r="N35" s="355"/>
      <c r="Z35" s="343" t="str">
        <f>IF(I35="Almost Certain", 5, IF(I35="Likely", 4, IF(I35="Possible", 3, IF(I35="Unlikely", 2, IF(I35="Rare",1, "N/A")))))</f>
        <v>N/A</v>
      </c>
      <c r="AA35" s="343" t="str">
        <f t="shared" ref="AA35" si="3">IF(K35="Severe", 5, IF(K35="Major", 4, IF(K35="Moderate", 3, IF(K35="Minor", 2, IF(K35="Insignificant",1, "N/A")))))</f>
        <v>N/A</v>
      </c>
      <c r="AY35" s="222"/>
    </row>
    <row r="36" spans="1:51" ht="15" customHeight="1" x14ac:dyDescent="0.2">
      <c r="A36" s="347"/>
      <c r="B36" s="348"/>
      <c r="C36" s="348"/>
      <c r="D36" s="348"/>
      <c r="E36" s="348"/>
      <c r="F36" s="349"/>
      <c r="G36" s="352"/>
      <c r="H36" s="353"/>
      <c r="I36" s="352"/>
      <c r="J36" s="353"/>
      <c r="K36" s="352"/>
      <c r="L36" s="353"/>
      <c r="M36" s="356"/>
      <c r="N36" s="357"/>
      <c r="Z36" s="343"/>
      <c r="AA36" s="343"/>
      <c r="AY36" s="222"/>
    </row>
    <row r="37" spans="1:51" ht="4.5" customHeight="1" x14ac:dyDescent="0.2">
      <c r="A37" s="106"/>
      <c r="B37" s="106"/>
      <c r="C37" s="106"/>
      <c r="D37" s="106"/>
      <c r="E37" s="106"/>
      <c r="F37" s="106"/>
      <c r="G37" s="106"/>
      <c r="H37" s="106"/>
      <c r="I37" s="106"/>
      <c r="J37" s="106"/>
      <c r="K37" s="106"/>
      <c r="L37" s="106"/>
      <c r="M37" s="106"/>
      <c r="N37" s="106"/>
      <c r="AY37" s="222"/>
    </row>
    <row r="38" spans="1:51" ht="7.5" customHeight="1" x14ac:dyDescent="0.25">
      <c r="A38" s="247"/>
      <c r="B38" s="247"/>
      <c r="C38" s="247"/>
      <c r="D38" s="247"/>
      <c r="E38" s="247"/>
      <c r="F38" s="247"/>
      <c r="G38" s="247"/>
      <c r="H38" s="247"/>
      <c r="I38" s="247"/>
      <c r="J38" s="247"/>
      <c r="K38" s="247"/>
      <c r="L38" s="247"/>
      <c r="M38" s="247"/>
      <c r="N38" s="247"/>
    </row>
    <row r="39" spans="1:51" x14ac:dyDescent="0.25">
      <c r="A39" s="296" t="s">
        <v>30</v>
      </c>
      <c r="B39" s="296"/>
      <c r="C39" s="224"/>
      <c r="D39" s="291" t="s">
        <v>31</v>
      </c>
      <c r="E39" s="292"/>
      <c r="F39" s="249" t="s">
        <v>13</v>
      </c>
      <c r="G39" s="224"/>
      <c r="H39" s="224"/>
      <c r="I39" s="291" t="s">
        <v>32</v>
      </c>
      <c r="J39" s="292"/>
      <c r="K39" s="299"/>
      <c r="L39" s="299"/>
      <c r="M39" s="299"/>
      <c r="N39" s="299"/>
    </row>
    <row r="40" spans="1:51" x14ac:dyDescent="0.25">
      <c r="A40" s="333" t="s">
        <v>360</v>
      </c>
      <c r="B40" s="333"/>
      <c r="C40" s="224"/>
      <c r="D40" s="291" t="s">
        <v>33</v>
      </c>
      <c r="E40" s="292"/>
      <c r="F40" s="318"/>
      <c r="G40" s="318"/>
      <c r="H40" s="224"/>
      <c r="I40" s="224"/>
      <c r="J40" s="227"/>
      <c r="K40" s="299"/>
      <c r="L40" s="299"/>
      <c r="M40" s="299"/>
      <c r="N40" s="299"/>
    </row>
    <row r="41" spans="1:51" x14ac:dyDescent="0.25">
      <c r="A41" s="332" t="s">
        <v>13</v>
      </c>
      <c r="B41" s="332"/>
      <c r="C41" s="224"/>
      <c r="D41" s="224"/>
      <c r="E41" s="224"/>
      <c r="F41" s="224"/>
      <c r="G41" s="224"/>
      <c r="H41" s="224"/>
      <c r="I41" s="224"/>
      <c r="J41" s="224"/>
      <c r="K41" s="224"/>
      <c r="L41" s="224"/>
      <c r="M41" s="225"/>
      <c r="N41" s="225"/>
    </row>
    <row r="42" spans="1:51" x14ac:dyDescent="0.25">
      <c r="A42" s="338" t="s">
        <v>34</v>
      </c>
      <c r="B42" s="338"/>
      <c r="C42" s="338"/>
      <c r="D42" s="291" t="s">
        <v>35</v>
      </c>
      <c r="E42" s="292"/>
      <c r="F42" s="318">
        <v>0</v>
      </c>
      <c r="G42" s="318"/>
      <c r="H42" s="325" t="s">
        <v>365</v>
      </c>
      <c r="I42" s="292"/>
      <c r="J42" s="318">
        <v>0</v>
      </c>
      <c r="K42" s="318"/>
      <c r="L42" s="224"/>
      <c r="M42" s="320" t="s">
        <v>36</v>
      </c>
      <c r="N42" s="320"/>
    </row>
    <row r="43" spans="1:51" x14ac:dyDescent="0.25">
      <c r="A43" s="332" t="s">
        <v>13</v>
      </c>
      <c r="B43" s="332"/>
      <c r="C43" s="224"/>
      <c r="D43" s="291" t="s">
        <v>37</v>
      </c>
      <c r="E43" s="292"/>
      <c r="F43" s="318">
        <v>0</v>
      </c>
      <c r="G43" s="318"/>
      <c r="H43" s="325" t="s">
        <v>366</v>
      </c>
      <c r="I43" s="292"/>
      <c r="J43" s="318">
        <v>0</v>
      </c>
      <c r="K43" s="318"/>
      <c r="L43" s="224"/>
      <c r="M43" s="318">
        <v>0</v>
      </c>
      <c r="N43" s="318"/>
    </row>
    <row r="44" spans="1:51" x14ac:dyDescent="0.25">
      <c r="A44" s="224"/>
      <c r="B44" s="224"/>
      <c r="C44" s="224"/>
      <c r="D44" s="224"/>
      <c r="E44" s="224"/>
      <c r="F44" s="224"/>
      <c r="G44" s="224"/>
      <c r="H44" s="224"/>
      <c r="I44" s="224"/>
      <c r="J44" s="224"/>
      <c r="K44" s="224"/>
      <c r="L44" s="224"/>
      <c r="M44" s="225"/>
      <c r="N44" s="225"/>
    </row>
    <row r="45" spans="1:51" ht="6" customHeight="1" x14ac:dyDescent="0.25">
      <c r="A45" s="247"/>
      <c r="B45" s="247"/>
      <c r="C45" s="247"/>
      <c r="D45" s="247"/>
      <c r="E45" s="247"/>
      <c r="F45" s="247"/>
      <c r="G45" s="247"/>
      <c r="H45" s="247"/>
      <c r="I45" s="247"/>
      <c r="J45" s="247"/>
      <c r="K45" s="247"/>
      <c r="L45" s="247"/>
      <c r="M45" s="250"/>
      <c r="N45" s="250"/>
    </row>
    <row r="46" spans="1:51" x14ac:dyDescent="0.25">
      <c r="A46" s="224" t="s">
        <v>38</v>
      </c>
      <c r="B46" s="224"/>
      <c r="C46" s="313" t="s">
        <v>352</v>
      </c>
      <c r="D46" s="313"/>
      <c r="E46" s="315" t="s">
        <v>39</v>
      </c>
      <c r="F46" s="315"/>
      <c r="G46" s="315" t="s">
        <v>40</v>
      </c>
      <c r="H46" s="315"/>
      <c r="I46" s="315" t="s">
        <v>41</v>
      </c>
      <c r="J46" s="315"/>
      <c r="K46" s="315" t="s">
        <v>42</v>
      </c>
      <c r="L46" s="315"/>
      <c r="M46" s="315" t="s">
        <v>43</v>
      </c>
      <c r="N46" s="315"/>
    </row>
    <row r="47" spans="1:51" x14ac:dyDescent="0.25">
      <c r="A47" s="251" t="s">
        <v>365</v>
      </c>
      <c r="B47" s="224"/>
      <c r="C47" s="314"/>
      <c r="D47" s="314"/>
      <c r="E47" s="316"/>
      <c r="F47" s="316"/>
      <c r="G47" s="316"/>
      <c r="H47" s="316"/>
      <c r="I47" s="316"/>
      <c r="J47" s="316"/>
      <c r="K47" s="316"/>
      <c r="L47" s="316"/>
      <c r="M47" s="316"/>
      <c r="N47" s="316"/>
    </row>
    <row r="48" spans="1:51" x14ac:dyDescent="0.25">
      <c r="A48" s="227"/>
      <c r="B48" s="252" t="s">
        <v>44</v>
      </c>
      <c r="C48" s="321">
        <v>0</v>
      </c>
      <c r="D48" s="321"/>
      <c r="E48" s="321">
        <v>0</v>
      </c>
      <c r="F48" s="321"/>
      <c r="G48" s="321">
        <v>0</v>
      </c>
      <c r="H48" s="321"/>
      <c r="I48" s="321">
        <v>0</v>
      </c>
      <c r="J48" s="321"/>
      <c r="K48" s="321">
        <v>0</v>
      </c>
      <c r="L48" s="321"/>
      <c r="M48" s="317">
        <f>SUM(C48:L48)</f>
        <v>0</v>
      </c>
      <c r="N48" s="317"/>
    </row>
    <row r="49" spans="1:51" x14ac:dyDescent="0.25">
      <c r="A49" s="224"/>
      <c r="B49" s="252" t="s">
        <v>45</v>
      </c>
      <c r="C49" s="321">
        <v>0</v>
      </c>
      <c r="D49" s="321"/>
      <c r="E49" s="321">
        <v>0</v>
      </c>
      <c r="F49" s="321"/>
      <c r="G49" s="321">
        <v>0</v>
      </c>
      <c r="H49" s="321"/>
      <c r="I49" s="321">
        <v>0</v>
      </c>
      <c r="J49" s="321"/>
      <c r="K49" s="321">
        <v>0</v>
      </c>
      <c r="L49" s="321"/>
      <c r="M49" s="317">
        <f t="shared" ref="M49:M50" si="4">SUM(C49:L49)</f>
        <v>0</v>
      </c>
      <c r="N49" s="317"/>
    </row>
    <row r="50" spans="1:51" ht="15.75" thickBot="1" x14ac:dyDescent="0.3">
      <c r="A50" s="224"/>
      <c r="B50" s="252" t="s">
        <v>46</v>
      </c>
      <c r="C50" s="324">
        <v>0</v>
      </c>
      <c r="D50" s="324"/>
      <c r="E50" s="324">
        <v>0</v>
      </c>
      <c r="F50" s="324"/>
      <c r="G50" s="324">
        <v>0</v>
      </c>
      <c r="H50" s="324"/>
      <c r="I50" s="324">
        <v>0</v>
      </c>
      <c r="J50" s="324"/>
      <c r="K50" s="324">
        <v>0</v>
      </c>
      <c r="L50" s="324"/>
      <c r="M50" s="322">
        <f t="shared" si="4"/>
        <v>0</v>
      </c>
      <c r="N50" s="322"/>
    </row>
    <row r="51" spans="1:51" x14ac:dyDescent="0.25">
      <c r="A51" s="224"/>
      <c r="B51" s="224"/>
      <c r="C51" s="319">
        <f>SUM(C48:D50)</f>
        <v>0</v>
      </c>
      <c r="D51" s="319"/>
      <c r="E51" s="319">
        <f t="shared" ref="E51" si="5">SUM(E48:F50)</f>
        <v>0</v>
      </c>
      <c r="F51" s="319"/>
      <c r="G51" s="319">
        <f t="shared" ref="G51" si="6">SUM(G48:H50)</f>
        <v>0</v>
      </c>
      <c r="H51" s="319"/>
      <c r="I51" s="319">
        <f t="shared" ref="I51" si="7">SUM(I48:J50)</f>
        <v>0</v>
      </c>
      <c r="J51" s="319"/>
      <c r="K51" s="319">
        <f t="shared" ref="K51" si="8">SUM(K48:L50)</f>
        <v>0</v>
      </c>
      <c r="L51" s="319"/>
      <c r="M51" s="319">
        <f t="shared" ref="M51" si="9">SUM(M48:N50)</f>
        <v>0</v>
      </c>
      <c r="N51" s="319"/>
    </row>
    <row r="52" spans="1:51" s="237" customFormat="1" x14ac:dyDescent="0.25">
      <c r="A52" s="224"/>
      <c r="B52" s="224"/>
      <c r="C52" s="224"/>
      <c r="D52" s="253"/>
      <c r="E52" s="253"/>
      <c r="F52" s="253"/>
      <c r="G52" s="253"/>
      <c r="H52" s="253"/>
      <c r="I52" s="253"/>
      <c r="J52" s="253"/>
      <c r="K52" s="253"/>
      <c r="L52" s="253"/>
      <c r="M52" s="253"/>
      <c r="N52" s="246"/>
      <c r="AY52" s="238"/>
    </row>
    <row r="53" spans="1:51" ht="15.75" thickBot="1" x14ac:dyDescent="0.3">
      <c r="A53" s="251" t="s">
        <v>366</v>
      </c>
      <c r="B53" s="224"/>
      <c r="C53" s="323">
        <v>0</v>
      </c>
      <c r="D53" s="323"/>
      <c r="E53" s="323">
        <v>0</v>
      </c>
      <c r="F53" s="323"/>
      <c r="G53" s="323">
        <v>0</v>
      </c>
      <c r="H53" s="323"/>
      <c r="I53" s="323">
        <v>0</v>
      </c>
      <c r="J53" s="323"/>
      <c r="K53" s="323">
        <v>0</v>
      </c>
      <c r="L53" s="323"/>
      <c r="M53" s="341">
        <f t="shared" ref="M53" si="10">SUM(C53:L53)</f>
        <v>0</v>
      </c>
      <c r="N53" s="341"/>
    </row>
    <row r="54" spans="1:51" ht="15.75" thickTop="1" x14ac:dyDescent="0.25">
      <c r="A54" s="224"/>
      <c r="B54" s="252" t="s">
        <v>47</v>
      </c>
      <c r="C54" s="319">
        <f>C53+C51</f>
        <v>0</v>
      </c>
      <c r="D54" s="319"/>
      <c r="E54" s="319">
        <f t="shared" ref="E54" si="11">E53+E51</f>
        <v>0</v>
      </c>
      <c r="F54" s="319"/>
      <c r="G54" s="319">
        <f t="shared" ref="G54" si="12">G53+G51</f>
        <v>0</v>
      </c>
      <c r="H54" s="319"/>
      <c r="I54" s="319">
        <f t="shared" ref="I54" si="13">I53+I51</f>
        <v>0</v>
      </c>
      <c r="J54" s="319"/>
      <c r="K54" s="319">
        <f t="shared" ref="K54" si="14">K53+K51</f>
        <v>0</v>
      </c>
      <c r="L54" s="319"/>
      <c r="M54" s="319">
        <f t="shared" ref="M54" si="15">M53+M51</f>
        <v>0</v>
      </c>
      <c r="N54" s="319"/>
    </row>
    <row r="55" spans="1:51" s="237" customFormat="1" x14ac:dyDescent="0.25">
      <c r="A55" s="224"/>
      <c r="B55" s="224"/>
      <c r="C55" s="224"/>
      <c r="D55" s="253"/>
      <c r="E55" s="253"/>
      <c r="F55" s="253"/>
      <c r="G55" s="253"/>
      <c r="H55" s="253"/>
      <c r="I55" s="253"/>
      <c r="J55" s="253"/>
      <c r="K55" s="253"/>
      <c r="L55" s="253"/>
      <c r="M55" s="253"/>
      <c r="N55" s="246"/>
      <c r="AY55" s="238"/>
    </row>
    <row r="56" spans="1:51" ht="6" customHeight="1" x14ac:dyDescent="0.25">
      <c r="A56" s="247"/>
      <c r="B56" s="247"/>
      <c r="C56" s="247"/>
      <c r="D56" s="247"/>
      <c r="E56" s="247"/>
      <c r="F56" s="247"/>
      <c r="G56" s="247"/>
      <c r="H56" s="247"/>
      <c r="I56" s="247"/>
      <c r="J56" s="247"/>
      <c r="K56" s="247"/>
      <c r="L56" s="247"/>
      <c r="M56" s="250"/>
      <c r="N56" s="250"/>
    </row>
    <row r="57" spans="1:51" ht="6" customHeight="1" x14ac:dyDescent="0.2">
      <c r="A57" s="106"/>
      <c r="B57" s="106"/>
      <c r="C57" s="106"/>
      <c r="D57" s="106"/>
      <c r="E57" s="106"/>
      <c r="F57" s="106"/>
      <c r="G57" s="106"/>
      <c r="H57" s="106"/>
      <c r="I57" s="106"/>
      <c r="J57" s="106"/>
      <c r="K57" s="106"/>
      <c r="L57" s="106"/>
      <c r="M57" s="106"/>
      <c r="N57" s="106"/>
      <c r="AY57" s="222"/>
    </row>
    <row r="58" spans="1:51" ht="14.25" customHeight="1" x14ac:dyDescent="0.25">
      <c r="A58" s="224" t="s">
        <v>367</v>
      </c>
      <c r="B58" s="224"/>
      <c r="C58" s="299" t="s">
        <v>368</v>
      </c>
      <c r="D58" s="299"/>
      <c r="E58" s="299"/>
      <c r="F58" s="299"/>
      <c r="G58" s="299"/>
      <c r="H58" s="299"/>
      <c r="I58" s="299"/>
      <c r="J58" s="299"/>
      <c r="K58" s="299"/>
      <c r="L58" s="299"/>
      <c r="M58" s="299"/>
      <c r="N58" s="299"/>
    </row>
    <row r="59" spans="1:51" x14ac:dyDescent="0.25">
      <c r="A59" s="224"/>
      <c r="B59" s="224"/>
      <c r="C59" s="299"/>
      <c r="D59" s="299"/>
      <c r="E59" s="299"/>
      <c r="F59" s="299"/>
      <c r="G59" s="299"/>
      <c r="H59" s="299"/>
      <c r="I59" s="299"/>
      <c r="J59" s="299"/>
      <c r="K59" s="299"/>
      <c r="L59" s="299"/>
      <c r="M59" s="299"/>
      <c r="N59" s="299"/>
    </row>
    <row r="60" spans="1:51" x14ac:dyDescent="0.25">
      <c r="A60" s="227"/>
      <c r="B60" s="227"/>
      <c r="C60" s="299"/>
      <c r="D60" s="299"/>
      <c r="E60" s="299"/>
      <c r="F60" s="299"/>
      <c r="G60" s="299"/>
      <c r="H60" s="299"/>
      <c r="I60" s="299"/>
      <c r="J60" s="299"/>
      <c r="K60" s="299"/>
      <c r="L60" s="299"/>
      <c r="M60" s="299"/>
      <c r="N60" s="299"/>
    </row>
    <row r="61" spans="1:51" s="237" customFormat="1" x14ac:dyDescent="0.25">
      <c r="A61" s="224"/>
      <c r="B61" s="224"/>
      <c r="C61" s="224"/>
      <c r="D61" s="254"/>
      <c r="E61" s="254"/>
      <c r="F61" s="254"/>
      <c r="G61" s="254"/>
      <c r="H61" s="254"/>
      <c r="I61" s="254"/>
      <c r="J61" s="254"/>
      <c r="K61" s="254"/>
      <c r="L61" s="254"/>
      <c r="M61" s="254"/>
      <c r="N61" s="254"/>
      <c r="AY61" s="238"/>
    </row>
    <row r="62" spans="1:51" s="237" customFormat="1" ht="15" customHeight="1" x14ac:dyDescent="0.25">
      <c r="A62" s="224"/>
      <c r="B62" s="224"/>
      <c r="C62" s="240" t="s">
        <v>48</v>
      </c>
      <c r="D62" s="239" t="s">
        <v>0</v>
      </c>
      <c r="E62" s="224"/>
      <c r="F62" s="255"/>
      <c r="G62" s="240" t="s">
        <v>49</v>
      </c>
      <c r="H62" s="239" t="s">
        <v>0</v>
      </c>
      <c r="I62" s="342" t="s">
        <v>50</v>
      </c>
      <c r="J62" s="342"/>
      <c r="K62" s="239" t="s">
        <v>0</v>
      </c>
      <c r="L62" s="255"/>
      <c r="M62" s="256" t="s">
        <v>369</v>
      </c>
      <c r="N62" s="257"/>
      <c r="AY62" s="238"/>
    </row>
    <row r="63" spans="1:51" s="237" customFormat="1" x14ac:dyDescent="0.25">
      <c r="A63" s="224"/>
      <c r="B63" s="224"/>
      <c r="C63" s="254"/>
      <c r="D63" s="254"/>
      <c r="E63" s="254"/>
      <c r="F63" s="254"/>
      <c r="G63" s="254"/>
      <c r="H63" s="254"/>
      <c r="I63" s="342"/>
      <c r="J63" s="342"/>
      <c r="K63" s="254"/>
      <c r="L63" s="255"/>
      <c r="M63" s="256" t="s">
        <v>51</v>
      </c>
      <c r="N63" s="225"/>
      <c r="AY63" s="238"/>
    </row>
    <row r="64" spans="1:51" s="237" customFormat="1" x14ac:dyDescent="0.25">
      <c r="A64" s="224"/>
      <c r="B64" s="224"/>
      <c r="C64" s="240" t="s">
        <v>52</v>
      </c>
      <c r="D64" s="239" t="s">
        <v>0</v>
      </c>
      <c r="E64" s="254"/>
      <c r="F64" s="254"/>
      <c r="G64" s="240" t="s">
        <v>370</v>
      </c>
      <c r="H64" s="239" t="s">
        <v>0</v>
      </c>
      <c r="I64" s="254"/>
      <c r="J64" s="240" t="s">
        <v>53</v>
      </c>
      <c r="K64" s="239" t="s">
        <v>0</v>
      </c>
      <c r="L64" s="255"/>
      <c r="M64" s="254"/>
      <c r="N64" s="254"/>
      <c r="AY64" s="238"/>
    </row>
    <row r="65" spans="1:51" s="237" customFormat="1" x14ac:dyDescent="0.25">
      <c r="A65" s="224"/>
      <c r="B65" s="224"/>
      <c r="C65" s="224"/>
      <c r="D65" s="240"/>
      <c r="E65" s="235"/>
      <c r="F65" s="254"/>
      <c r="G65" s="254"/>
      <c r="H65" s="258"/>
      <c r="I65" s="235"/>
      <c r="J65" s="254"/>
      <c r="K65" s="254"/>
      <c r="L65" s="254"/>
      <c r="M65" s="254"/>
      <c r="N65" s="254"/>
      <c r="AY65" s="238"/>
    </row>
    <row r="66" spans="1:51" s="237" customFormat="1" x14ac:dyDescent="0.25">
      <c r="A66" s="224" t="s">
        <v>371</v>
      </c>
      <c r="B66" s="255"/>
      <c r="C66" s="255"/>
      <c r="D66" s="259" t="s">
        <v>54</v>
      </c>
      <c r="E66" s="239"/>
      <c r="F66" s="255"/>
      <c r="G66" s="259" t="s">
        <v>55</v>
      </c>
      <c r="H66" s="239" t="s">
        <v>0</v>
      </c>
      <c r="I66" s="240"/>
      <c r="J66" s="259" t="s">
        <v>56</v>
      </c>
      <c r="K66" s="239" t="s">
        <v>0</v>
      </c>
      <c r="L66" s="255"/>
      <c r="M66" s="259" t="s">
        <v>57</v>
      </c>
      <c r="N66" s="239" t="s">
        <v>0</v>
      </c>
      <c r="AY66" s="238"/>
    </row>
    <row r="67" spans="1:51" s="237" customFormat="1" x14ac:dyDescent="0.25">
      <c r="A67" s="224" t="s">
        <v>372</v>
      </c>
      <c r="B67" s="255"/>
      <c r="C67" s="255"/>
      <c r="D67" s="259" t="s">
        <v>54</v>
      </c>
      <c r="E67" s="239"/>
      <c r="F67" s="255"/>
      <c r="G67" s="259" t="s">
        <v>55</v>
      </c>
      <c r="H67" s="239" t="s">
        <v>0</v>
      </c>
      <c r="I67" s="240"/>
      <c r="J67" s="259" t="s">
        <v>56</v>
      </c>
      <c r="K67" s="239" t="s">
        <v>0</v>
      </c>
      <c r="L67" s="255"/>
      <c r="M67" s="259" t="s">
        <v>57</v>
      </c>
      <c r="N67" s="239" t="s">
        <v>0</v>
      </c>
      <c r="AY67" s="238"/>
    </row>
    <row r="68" spans="1:51" x14ac:dyDescent="0.25">
      <c r="A68" s="227"/>
      <c r="B68" s="224"/>
      <c r="C68" s="224"/>
      <c r="D68" s="224"/>
      <c r="E68" s="224"/>
      <c r="F68" s="224"/>
      <c r="G68" s="224"/>
      <c r="H68" s="224"/>
      <c r="I68" s="224"/>
      <c r="J68" s="224"/>
      <c r="K68" s="246"/>
      <c r="L68" s="224"/>
      <c r="M68" s="225"/>
      <c r="N68" s="225"/>
    </row>
    <row r="69" spans="1:51" x14ac:dyDescent="0.25">
      <c r="A69" s="224" t="s">
        <v>58</v>
      </c>
      <c r="B69" s="224"/>
      <c r="C69" s="299" t="s">
        <v>386</v>
      </c>
      <c r="D69" s="299"/>
      <c r="E69" s="299"/>
      <c r="F69" s="299"/>
      <c r="G69" s="299"/>
      <c r="H69" s="299"/>
      <c r="I69" s="299"/>
      <c r="J69" s="299"/>
      <c r="K69" s="224"/>
      <c r="L69" s="227"/>
      <c r="M69" s="240" t="s">
        <v>59</v>
      </c>
      <c r="N69" s="239" t="s">
        <v>11</v>
      </c>
    </row>
    <row r="70" spans="1:51" x14ac:dyDescent="0.25">
      <c r="A70" s="224"/>
      <c r="B70" s="224"/>
      <c r="C70" s="224"/>
      <c r="D70" s="224"/>
      <c r="E70" s="224"/>
      <c r="F70" s="224"/>
      <c r="G70" s="224"/>
      <c r="H70" s="224"/>
      <c r="I70" s="224"/>
      <c r="J70" s="224"/>
      <c r="K70" s="224"/>
      <c r="L70" s="224"/>
      <c r="M70" s="225"/>
      <c r="N70" s="225"/>
    </row>
    <row r="71" spans="1:51" ht="6" customHeight="1" x14ac:dyDescent="0.25">
      <c r="A71" s="247"/>
      <c r="B71" s="247"/>
      <c r="C71" s="247"/>
      <c r="D71" s="247"/>
      <c r="E71" s="247"/>
      <c r="F71" s="247"/>
      <c r="G71" s="247"/>
      <c r="H71" s="247"/>
      <c r="I71" s="247"/>
      <c r="J71" s="247"/>
      <c r="K71" s="247"/>
      <c r="L71" s="247"/>
      <c r="M71" s="250"/>
      <c r="N71" s="250"/>
    </row>
    <row r="72" spans="1:51" x14ac:dyDescent="0.25">
      <c r="A72" s="224"/>
      <c r="B72" s="224"/>
      <c r="C72" s="224"/>
      <c r="D72" s="224"/>
      <c r="E72" s="224"/>
      <c r="F72" s="224"/>
      <c r="G72" s="224"/>
      <c r="H72" s="224"/>
      <c r="I72" s="224"/>
      <c r="J72" s="224"/>
      <c r="K72" s="224"/>
      <c r="L72" s="224"/>
      <c r="M72" s="224"/>
      <c r="N72" s="224"/>
    </row>
    <row r="73" spans="1:51" x14ac:dyDescent="0.25">
      <c r="A73" s="224" t="s">
        <v>60</v>
      </c>
      <c r="B73" s="224"/>
      <c r="C73" s="299"/>
      <c r="D73" s="299"/>
      <c r="E73" s="299"/>
      <c r="F73" s="299"/>
      <c r="G73" s="299"/>
      <c r="H73" s="299"/>
      <c r="I73" s="227"/>
      <c r="J73" s="240" t="s">
        <v>61</v>
      </c>
      <c r="K73" s="339" t="s">
        <v>0</v>
      </c>
      <c r="L73" s="339"/>
      <c r="M73" s="225"/>
      <c r="N73" s="225"/>
    </row>
    <row r="74" spans="1:51" x14ac:dyDescent="0.25">
      <c r="A74" s="224"/>
      <c r="B74" s="264" t="s">
        <v>62</v>
      </c>
      <c r="C74" s="299"/>
      <c r="D74" s="299"/>
      <c r="E74" s="299"/>
      <c r="F74" s="299"/>
      <c r="G74" s="299"/>
      <c r="H74" s="299"/>
      <c r="I74" s="227"/>
      <c r="J74" s="240" t="s">
        <v>63</v>
      </c>
      <c r="K74" s="340"/>
      <c r="L74" s="340"/>
      <c r="M74" s="225"/>
      <c r="N74" s="225"/>
    </row>
    <row r="75" spans="1:51" x14ac:dyDescent="0.25">
      <c r="A75" s="224"/>
      <c r="B75" s="224"/>
      <c r="C75" s="224"/>
      <c r="D75" s="224"/>
      <c r="E75" s="224"/>
      <c r="F75" s="224"/>
      <c r="G75" s="224"/>
      <c r="H75" s="224"/>
      <c r="I75" s="224"/>
      <c r="J75" s="224"/>
      <c r="K75" s="224"/>
      <c r="L75" s="224"/>
      <c r="M75" s="225"/>
      <c r="N75" s="225"/>
    </row>
    <row r="76" spans="1:51" ht="15" customHeight="1" x14ac:dyDescent="0.25">
      <c r="A76" s="224" t="s">
        <v>64</v>
      </c>
      <c r="B76" s="224"/>
      <c r="C76" s="300" t="s">
        <v>373</v>
      </c>
      <c r="D76" s="301"/>
      <c r="E76" s="301"/>
      <c r="F76" s="301"/>
      <c r="G76" s="301"/>
      <c r="H76" s="301"/>
      <c r="I76" s="301"/>
      <c r="J76" s="301"/>
      <c r="K76" s="301"/>
      <c r="L76" s="301"/>
      <c r="M76" s="301"/>
      <c r="N76" s="302"/>
    </row>
    <row r="77" spans="1:51" x14ac:dyDescent="0.25">
      <c r="A77" s="224"/>
      <c r="B77" s="224"/>
      <c r="C77" s="306"/>
      <c r="D77" s="307"/>
      <c r="E77" s="307"/>
      <c r="F77" s="307"/>
      <c r="G77" s="307"/>
      <c r="H77" s="307"/>
      <c r="I77" s="307"/>
      <c r="J77" s="307"/>
      <c r="K77" s="307"/>
      <c r="L77" s="307"/>
      <c r="M77" s="307"/>
      <c r="N77" s="308"/>
    </row>
    <row r="78" spans="1:51" x14ac:dyDescent="0.25">
      <c r="A78" s="226"/>
      <c r="B78" s="226"/>
      <c r="C78" s="226"/>
      <c r="D78" s="226"/>
      <c r="E78" s="226"/>
      <c r="F78" s="226"/>
      <c r="G78" s="226"/>
      <c r="H78" s="226"/>
      <c r="I78" s="226"/>
      <c r="J78" s="226"/>
      <c r="K78" s="226"/>
      <c r="L78" s="226"/>
    </row>
    <row r="79" spans="1:51" x14ac:dyDescent="0.25">
      <c r="A79" s="226"/>
      <c r="B79" s="226"/>
      <c r="C79" s="226"/>
      <c r="D79" s="226"/>
      <c r="E79" s="226"/>
      <c r="F79" s="226"/>
      <c r="G79" s="226"/>
      <c r="H79" s="226"/>
      <c r="I79" s="226"/>
      <c r="J79" s="226"/>
      <c r="K79" s="226"/>
      <c r="L79" s="226"/>
    </row>
  </sheetData>
  <sheetProtection algorithmName="SHA-512" hashValue="NsDfzLoVSl5qIC2J4ir5AA4Y5TQpdXXkyNXCwEklcqTSS0P8dCJQYzUj9ogk85FE3Ix9v6f7DBwnJF0J7WREHQ==" saltValue="xBUFRuYaQ6xN17+xBP/ydA==" spinCount="100000" sheet="1" objects="1" scenarios="1"/>
  <mergeCells count="126">
    <mergeCell ref="I62:J63"/>
    <mergeCell ref="Z35:Z36"/>
    <mergeCell ref="Z33:Z34"/>
    <mergeCell ref="Z31:Z32"/>
    <mergeCell ref="AA35:AA36"/>
    <mergeCell ref="AA33:AA34"/>
    <mergeCell ref="AA31:AA32"/>
    <mergeCell ref="A33:F34"/>
    <mergeCell ref="A31:F32"/>
    <mergeCell ref="A35:F36"/>
    <mergeCell ref="G35:H36"/>
    <mergeCell ref="G33:H34"/>
    <mergeCell ref="G31:H32"/>
    <mergeCell ref="M35:N36"/>
    <mergeCell ref="M33:N34"/>
    <mergeCell ref="M31:N32"/>
    <mergeCell ref="K35:L36"/>
    <mergeCell ref="K33:L34"/>
    <mergeCell ref="K31:L32"/>
    <mergeCell ref="I35:J36"/>
    <mergeCell ref="I33:J34"/>
    <mergeCell ref="I31:J32"/>
    <mergeCell ref="C54:D54"/>
    <mergeCell ref="E53:F53"/>
    <mergeCell ref="C76:N77"/>
    <mergeCell ref="M30:N30"/>
    <mergeCell ref="G30:H30"/>
    <mergeCell ref="I30:J30"/>
    <mergeCell ref="K30:L30"/>
    <mergeCell ref="A30:F30"/>
    <mergeCell ref="A39:B39"/>
    <mergeCell ref="A42:C42"/>
    <mergeCell ref="D42:E42"/>
    <mergeCell ref="D43:E43"/>
    <mergeCell ref="K73:L73"/>
    <mergeCell ref="K74:L74"/>
    <mergeCell ref="A43:B43"/>
    <mergeCell ref="C73:H74"/>
    <mergeCell ref="C69:J69"/>
    <mergeCell ref="K51:L51"/>
    <mergeCell ref="E48:F48"/>
    <mergeCell ref="G48:H48"/>
    <mergeCell ref="I48:J48"/>
    <mergeCell ref="K48:L48"/>
    <mergeCell ref="C51:D51"/>
    <mergeCell ref="M53:N53"/>
    <mergeCell ref="C58:N60"/>
    <mergeCell ref="C53:D53"/>
    <mergeCell ref="I50:J50"/>
    <mergeCell ref="K50:L50"/>
    <mergeCell ref="A1:N1"/>
    <mergeCell ref="M4:N4"/>
    <mergeCell ref="M5:N5"/>
    <mergeCell ref="L8:N8"/>
    <mergeCell ref="A6:B6"/>
    <mergeCell ref="A3:B3"/>
    <mergeCell ref="A4:B4"/>
    <mergeCell ref="C3:D3"/>
    <mergeCell ref="L7:N7"/>
    <mergeCell ref="C4:H4"/>
    <mergeCell ref="C6:H9"/>
    <mergeCell ref="I7:K7"/>
    <mergeCell ref="I8:K8"/>
    <mergeCell ref="A41:B41"/>
    <mergeCell ref="A40:B40"/>
    <mergeCell ref="C49:D49"/>
    <mergeCell ref="C50:D50"/>
    <mergeCell ref="K39:N40"/>
    <mergeCell ref="C48:D48"/>
    <mergeCell ref="I39:J39"/>
    <mergeCell ref="D39:E39"/>
    <mergeCell ref="D40:E40"/>
    <mergeCell ref="E54:F54"/>
    <mergeCell ref="G54:H54"/>
    <mergeCell ref="I54:J54"/>
    <mergeCell ref="K54:L54"/>
    <mergeCell ref="M49:N49"/>
    <mergeCell ref="M43:N43"/>
    <mergeCell ref="M42:N42"/>
    <mergeCell ref="M54:N54"/>
    <mergeCell ref="E49:F49"/>
    <mergeCell ref="G49:H49"/>
    <mergeCell ref="E51:F51"/>
    <mergeCell ref="G51:H51"/>
    <mergeCell ref="I51:J51"/>
    <mergeCell ref="M51:N51"/>
    <mergeCell ref="M50:N50"/>
    <mergeCell ref="G53:H53"/>
    <mergeCell ref="I53:J53"/>
    <mergeCell ref="K53:L53"/>
    <mergeCell ref="I49:J49"/>
    <mergeCell ref="K49:L49"/>
    <mergeCell ref="E50:F50"/>
    <mergeCell ref="G50:H50"/>
    <mergeCell ref="H42:I42"/>
    <mergeCell ref="H43:I43"/>
    <mergeCell ref="C46:D47"/>
    <mergeCell ref="M46:N47"/>
    <mergeCell ref="K46:L47"/>
    <mergeCell ref="I46:J47"/>
    <mergeCell ref="G46:H47"/>
    <mergeCell ref="E46:F47"/>
    <mergeCell ref="M48:N48"/>
    <mergeCell ref="F40:G40"/>
    <mergeCell ref="F42:G42"/>
    <mergeCell ref="F43:G43"/>
    <mergeCell ref="J42:K42"/>
    <mergeCell ref="J43:K43"/>
    <mergeCell ref="J10:L10"/>
    <mergeCell ref="M10:N10"/>
    <mergeCell ref="A12:B12"/>
    <mergeCell ref="J11:L11"/>
    <mergeCell ref="J12:L12"/>
    <mergeCell ref="M11:N11"/>
    <mergeCell ref="A20:B20"/>
    <mergeCell ref="A23:B23"/>
    <mergeCell ref="A14:B16"/>
    <mergeCell ref="C20:N22"/>
    <mergeCell ref="C23:N26"/>
    <mergeCell ref="C11:H13"/>
    <mergeCell ref="M12:N12"/>
    <mergeCell ref="A11:B11"/>
    <mergeCell ref="J13:L13"/>
    <mergeCell ref="M13:N13"/>
    <mergeCell ref="A18:C18"/>
    <mergeCell ref="D18:H18"/>
  </mergeCells>
  <conditionalFormatting sqref="N15">
    <cfRule type="cellIs" dxfId="10" priority="9" operator="equal">
      <formula>"High"</formula>
    </cfRule>
    <cfRule type="cellIs" dxfId="9" priority="10" operator="equal">
      <formula>"Medium"</formula>
    </cfRule>
    <cfRule type="cellIs" dxfId="8" priority="11" operator="equal">
      <formula>"Low"</formula>
    </cfRule>
  </conditionalFormatting>
  <conditionalFormatting sqref="N16">
    <cfRule type="cellIs" dxfId="7" priority="6" operator="between">
      <formula>51</formula>
      <formula>75</formula>
    </cfRule>
    <cfRule type="cellIs" dxfId="6" priority="7" operator="between">
      <formula>26</formula>
      <formula>50</formula>
    </cfRule>
    <cfRule type="cellIs" dxfId="5" priority="8" operator="between">
      <formula>0</formula>
      <formula>25</formula>
    </cfRule>
  </conditionalFormatting>
  <conditionalFormatting sqref="N18">
    <cfRule type="cellIs" dxfId="4" priority="1" operator="equal">
      <formula>"XL"</formula>
    </cfRule>
    <cfRule type="cellIs" dxfId="3" priority="2" operator="equal">
      <formula>"L"</formula>
    </cfRule>
    <cfRule type="cellIs" dxfId="2" priority="3" operator="equal">
      <formula>"M"</formula>
    </cfRule>
    <cfRule type="cellIs" dxfId="1" priority="4" operator="equal">
      <formula>"S"</formula>
    </cfRule>
    <cfRule type="cellIs" dxfId="0" priority="5" operator="equal">
      <formula>"XS"</formula>
    </cfRule>
  </conditionalFormatting>
  <dataValidations count="5">
    <dataValidation type="list" allowBlank="1" showInputMessage="1" showErrorMessage="1" sqref="F39 N69 C15:C17 K15 A43 I65 H66:H67 K66:K67 N66:N67 K64 E65:E67 D62 H62 K62 H64 D64 G15:G17 A41">
      <formula1>$AY$8:$AY$11</formula1>
    </dataValidation>
    <dataValidation type="list" allowBlank="1" showInputMessage="1" showErrorMessage="1" sqref="K73:L73">
      <formula1>$AY$2:$AY$6</formula1>
    </dataValidation>
    <dataValidation type="list" allowBlank="1" showInputMessage="1" showErrorMessage="1" sqref="G31:H36">
      <formula1>"Business, Clinical, Technical"</formula1>
    </dataValidation>
    <dataValidation type="list" allowBlank="1" showInputMessage="1" showErrorMessage="1" sqref="I31:J36">
      <formula1>"Almost Certain, Likely, Possible, Unlikely, Rare"</formula1>
    </dataValidation>
    <dataValidation type="list" allowBlank="1" showInputMessage="1" showErrorMessage="1" sqref="K31:L36">
      <formula1>"Severe, Major, Moderate, Minor, Insignificant"</formula1>
    </dataValidation>
  </dataValidations>
  <pageMargins left="0.7" right="0.7" top="0.75" bottom="0.75" header="0.3" footer="0.3"/>
  <pageSetup scale="63"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39"/>
    <pageSetUpPr fitToPage="1"/>
  </sheetPr>
  <dimension ref="A1:CH648"/>
  <sheetViews>
    <sheetView showGridLines="0" zoomScale="90" workbookViewId="0">
      <selection activeCell="N63" sqref="N63"/>
    </sheetView>
  </sheetViews>
  <sheetFormatPr defaultRowHeight="12.75" x14ac:dyDescent="0.2"/>
  <cols>
    <col min="1" max="1" width="5.28515625" style="33" customWidth="1"/>
    <col min="2" max="2" width="18.42578125" style="45" customWidth="1"/>
    <col min="3" max="3" width="25.7109375" style="45" customWidth="1"/>
    <col min="4" max="4" width="25.5703125" style="36" customWidth="1"/>
    <col min="5" max="5" width="13.42578125" style="36" customWidth="1"/>
    <col min="6" max="7" width="25.7109375" style="36" customWidth="1"/>
    <col min="8" max="8" width="6" style="36" customWidth="1"/>
    <col min="9" max="10" width="3.5703125" style="36" customWidth="1"/>
    <col min="11" max="14" width="9.5703125" style="36" customWidth="1"/>
    <col min="15" max="16" width="9.140625" style="36"/>
    <col min="17" max="17" width="4.7109375" style="36" customWidth="1"/>
    <col min="18" max="21" width="9.140625" style="36"/>
    <col min="22" max="28" width="9.140625" style="33"/>
    <col min="29" max="29" width="4.7109375" style="33" customWidth="1"/>
    <col min="30" max="30" width="9.140625" style="33"/>
    <col min="31" max="46" width="9.140625" style="65"/>
    <col min="47" max="233" width="9.140625" style="33"/>
    <col min="234" max="234" width="18.42578125" style="33" customWidth="1"/>
    <col min="235" max="235" width="49.7109375" style="33" customWidth="1"/>
    <col min="236" max="236" width="13.42578125" style="33" customWidth="1"/>
    <col min="237" max="237" width="51.140625" style="33" customWidth="1"/>
    <col min="238" max="489" width="9.140625" style="33"/>
    <col min="490" max="490" width="18.42578125" style="33" customWidth="1"/>
    <col min="491" max="491" width="49.7109375" style="33" customWidth="1"/>
    <col min="492" max="492" width="13.42578125" style="33" customWidth="1"/>
    <col min="493" max="493" width="51.140625" style="33" customWidth="1"/>
    <col min="494" max="745" width="9.140625" style="33"/>
    <col min="746" max="746" width="18.42578125" style="33" customWidth="1"/>
    <col min="747" max="747" width="49.7109375" style="33" customWidth="1"/>
    <col min="748" max="748" width="13.42578125" style="33" customWidth="1"/>
    <col min="749" max="749" width="51.140625" style="33" customWidth="1"/>
    <col min="750" max="1001" width="9.140625" style="33"/>
    <col min="1002" max="1002" width="18.42578125" style="33" customWidth="1"/>
    <col min="1003" max="1003" width="49.7109375" style="33" customWidth="1"/>
    <col min="1004" max="1004" width="13.42578125" style="33" customWidth="1"/>
    <col min="1005" max="1005" width="51.140625" style="33" customWidth="1"/>
    <col min="1006" max="1257" width="9.140625" style="33"/>
    <col min="1258" max="1258" width="18.42578125" style="33" customWidth="1"/>
    <col min="1259" max="1259" width="49.7109375" style="33" customWidth="1"/>
    <col min="1260" max="1260" width="13.42578125" style="33" customWidth="1"/>
    <col min="1261" max="1261" width="51.140625" style="33" customWidth="1"/>
    <col min="1262" max="1513" width="9.140625" style="33"/>
    <col min="1514" max="1514" width="18.42578125" style="33" customWidth="1"/>
    <col min="1515" max="1515" width="49.7109375" style="33" customWidth="1"/>
    <col min="1516" max="1516" width="13.42578125" style="33" customWidth="1"/>
    <col min="1517" max="1517" width="51.140625" style="33" customWidth="1"/>
    <col min="1518" max="1769" width="9.140625" style="33"/>
    <col min="1770" max="1770" width="18.42578125" style="33" customWidth="1"/>
    <col min="1771" max="1771" width="49.7109375" style="33" customWidth="1"/>
    <col min="1772" max="1772" width="13.42578125" style="33" customWidth="1"/>
    <col min="1773" max="1773" width="51.140625" style="33" customWidth="1"/>
    <col min="1774" max="2025" width="9.140625" style="33"/>
    <col min="2026" max="2026" width="18.42578125" style="33" customWidth="1"/>
    <col min="2027" max="2027" width="49.7109375" style="33" customWidth="1"/>
    <col min="2028" max="2028" width="13.42578125" style="33" customWidth="1"/>
    <col min="2029" max="2029" width="51.140625" style="33" customWidth="1"/>
    <col min="2030" max="2281" width="9.140625" style="33"/>
    <col min="2282" max="2282" width="18.42578125" style="33" customWidth="1"/>
    <col min="2283" max="2283" width="49.7109375" style="33" customWidth="1"/>
    <col min="2284" max="2284" width="13.42578125" style="33" customWidth="1"/>
    <col min="2285" max="2285" width="51.140625" style="33" customWidth="1"/>
    <col min="2286" max="2537" width="9.140625" style="33"/>
    <col min="2538" max="2538" width="18.42578125" style="33" customWidth="1"/>
    <col min="2539" max="2539" width="49.7109375" style="33" customWidth="1"/>
    <col min="2540" max="2540" width="13.42578125" style="33" customWidth="1"/>
    <col min="2541" max="2541" width="51.140625" style="33" customWidth="1"/>
    <col min="2542" max="2793" width="9.140625" style="33"/>
    <col min="2794" max="2794" width="18.42578125" style="33" customWidth="1"/>
    <col min="2795" max="2795" width="49.7109375" style="33" customWidth="1"/>
    <col min="2796" max="2796" width="13.42578125" style="33" customWidth="1"/>
    <col min="2797" max="2797" width="51.140625" style="33" customWidth="1"/>
    <col min="2798" max="3049" width="9.140625" style="33"/>
    <col min="3050" max="3050" width="18.42578125" style="33" customWidth="1"/>
    <col min="3051" max="3051" width="49.7109375" style="33" customWidth="1"/>
    <col min="3052" max="3052" width="13.42578125" style="33" customWidth="1"/>
    <col min="3053" max="3053" width="51.140625" style="33" customWidth="1"/>
    <col min="3054" max="3305" width="9.140625" style="33"/>
    <col min="3306" max="3306" width="18.42578125" style="33" customWidth="1"/>
    <col min="3307" max="3307" width="49.7109375" style="33" customWidth="1"/>
    <col min="3308" max="3308" width="13.42578125" style="33" customWidth="1"/>
    <col min="3309" max="3309" width="51.140625" style="33" customWidth="1"/>
    <col min="3310" max="3561" width="9.140625" style="33"/>
    <col min="3562" max="3562" width="18.42578125" style="33" customWidth="1"/>
    <col min="3563" max="3563" width="49.7109375" style="33" customWidth="1"/>
    <col min="3564" max="3564" width="13.42578125" style="33" customWidth="1"/>
    <col min="3565" max="3565" width="51.140625" style="33" customWidth="1"/>
    <col min="3566" max="3817" width="9.140625" style="33"/>
    <col min="3818" max="3818" width="18.42578125" style="33" customWidth="1"/>
    <col min="3819" max="3819" width="49.7109375" style="33" customWidth="1"/>
    <col min="3820" max="3820" width="13.42578125" style="33" customWidth="1"/>
    <col min="3821" max="3821" width="51.140625" style="33" customWidth="1"/>
    <col min="3822" max="4073" width="9.140625" style="33"/>
    <col min="4074" max="4074" width="18.42578125" style="33" customWidth="1"/>
    <col min="4075" max="4075" width="49.7109375" style="33" customWidth="1"/>
    <col min="4076" max="4076" width="13.42578125" style="33" customWidth="1"/>
    <col min="4077" max="4077" width="51.140625" style="33" customWidth="1"/>
    <col min="4078" max="4329" width="9.140625" style="33"/>
    <col min="4330" max="4330" width="18.42578125" style="33" customWidth="1"/>
    <col min="4331" max="4331" width="49.7109375" style="33" customWidth="1"/>
    <col min="4332" max="4332" width="13.42578125" style="33" customWidth="1"/>
    <col min="4333" max="4333" width="51.140625" style="33" customWidth="1"/>
    <col min="4334" max="4585" width="9.140625" style="33"/>
    <col min="4586" max="4586" width="18.42578125" style="33" customWidth="1"/>
    <col min="4587" max="4587" width="49.7109375" style="33" customWidth="1"/>
    <col min="4588" max="4588" width="13.42578125" style="33" customWidth="1"/>
    <col min="4589" max="4589" width="51.140625" style="33" customWidth="1"/>
    <col min="4590" max="4841" width="9.140625" style="33"/>
    <col min="4842" max="4842" width="18.42578125" style="33" customWidth="1"/>
    <col min="4843" max="4843" width="49.7109375" style="33" customWidth="1"/>
    <col min="4844" max="4844" width="13.42578125" style="33" customWidth="1"/>
    <col min="4845" max="4845" width="51.140625" style="33" customWidth="1"/>
    <col min="4846" max="5097" width="9.140625" style="33"/>
    <col min="5098" max="5098" width="18.42578125" style="33" customWidth="1"/>
    <col min="5099" max="5099" width="49.7109375" style="33" customWidth="1"/>
    <col min="5100" max="5100" width="13.42578125" style="33" customWidth="1"/>
    <col min="5101" max="5101" width="51.140625" style="33" customWidth="1"/>
    <col min="5102" max="5353" width="9.140625" style="33"/>
    <col min="5354" max="5354" width="18.42578125" style="33" customWidth="1"/>
    <col min="5355" max="5355" width="49.7109375" style="33" customWidth="1"/>
    <col min="5356" max="5356" width="13.42578125" style="33" customWidth="1"/>
    <col min="5357" max="5357" width="51.140625" style="33" customWidth="1"/>
    <col min="5358" max="5609" width="9.140625" style="33"/>
    <col min="5610" max="5610" width="18.42578125" style="33" customWidth="1"/>
    <col min="5611" max="5611" width="49.7109375" style="33" customWidth="1"/>
    <col min="5612" max="5612" width="13.42578125" style="33" customWidth="1"/>
    <col min="5613" max="5613" width="51.140625" style="33" customWidth="1"/>
    <col min="5614" max="5865" width="9.140625" style="33"/>
    <col min="5866" max="5866" width="18.42578125" style="33" customWidth="1"/>
    <col min="5867" max="5867" width="49.7109375" style="33" customWidth="1"/>
    <col min="5868" max="5868" width="13.42578125" style="33" customWidth="1"/>
    <col min="5869" max="5869" width="51.140625" style="33" customWidth="1"/>
    <col min="5870" max="6121" width="9.140625" style="33"/>
    <col min="6122" max="6122" width="18.42578125" style="33" customWidth="1"/>
    <col min="6123" max="6123" width="49.7109375" style="33" customWidth="1"/>
    <col min="6124" max="6124" width="13.42578125" style="33" customWidth="1"/>
    <col min="6125" max="6125" width="51.140625" style="33" customWidth="1"/>
    <col min="6126" max="6377" width="9.140625" style="33"/>
    <col min="6378" max="6378" width="18.42578125" style="33" customWidth="1"/>
    <col min="6379" max="6379" width="49.7109375" style="33" customWidth="1"/>
    <col min="6380" max="6380" width="13.42578125" style="33" customWidth="1"/>
    <col min="6381" max="6381" width="51.140625" style="33" customWidth="1"/>
    <col min="6382" max="6633" width="9.140625" style="33"/>
    <col min="6634" max="6634" width="18.42578125" style="33" customWidth="1"/>
    <col min="6635" max="6635" width="49.7109375" style="33" customWidth="1"/>
    <col min="6636" max="6636" width="13.42578125" style="33" customWidth="1"/>
    <col min="6637" max="6637" width="51.140625" style="33" customWidth="1"/>
    <col min="6638" max="6889" width="9.140625" style="33"/>
    <col min="6890" max="6890" width="18.42578125" style="33" customWidth="1"/>
    <col min="6891" max="6891" width="49.7109375" style="33" customWidth="1"/>
    <col min="6892" max="6892" width="13.42578125" style="33" customWidth="1"/>
    <col min="6893" max="6893" width="51.140625" style="33" customWidth="1"/>
    <col min="6894" max="7145" width="9.140625" style="33"/>
    <col min="7146" max="7146" width="18.42578125" style="33" customWidth="1"/>
    <col min="7147" max="7147" width="49.7109375" style="33" customWidth="1"/>
    <col min="7148" max="7148" width="13.42578125" style="33" customWidth="1"/>
    <col min="7149" max="7149" width="51.140625" style="33" customWidth="1"/>
    <col min="7150" max="7401" width="9.140625" style="33"/>
    <col min="7402" max="7402" width="18.42578125" style="33" customWidth="1"/>
    <col min="7403" max="7403" width="49.7109375" style="33" customWidth="1"/>
    <col min="7404" max="7404" width="13.42578125" style="33" customWidth="1"/>
    <col min="7405" max="7405" width="51.140625" style="33" customWidth="1"/>
    <col min="7406" max="7657" width="9.140625" style="33"/>
    <col min="7658" max="7658" width="18.42578125" style="33" customWidth="1"/>
    <col min="7659" max="7659" width="49.7109375" style="33" customWidth="1"/>
    <col min="7660" max="7660" width="13.42578125" style="33" customWidth="1"/>
    <col min="7661" max="7661" width="51.140625" style="33" customWidth="1"/>
    <col min="7662" max="7913" width="9.140625" style="33"/>
    <col min="7914" max="7914" width="18.42578125" style="33" customWidth="1"/>
    <col min="7915" max="7915" width="49.7109375" style="33" customWidth="1"/>
    <col min="7916" max="7916" width="13.42578125" style="33" customWidth="1"/>
    <col min="7917" max="7917" width="51.140625" style="33" customWidth="1"/>
    <col min="7918" max="8169" width="9.140625" style="33"/>
    <col min="8170" max="8170" width="18.42578125" style="33" customWidth="1"/>
    <col min="8171" max="8171" width="49.7109375" style="33" customWidth="1"/>
    <col min="8172" max="8172" width="13.42578125" style="33" customWidth="1"/>
    <col min="8173" max="8173" width="51.140625" style="33" customWidth="1"/>
    <col min="8174" max="8425" width="9.140625" style="33"/>
    <col min="8426" max="8426" width="18.42578125" style="33" customWidth="1"/>
    <col min="8427" max="8427" width="49.7109375" style="33" customWidth="1"/>
    <col min="8428" max="8428" width="13.42578125" style="33" customWidth="1"/>
    <col min="8429" max="8429" width="51.140625" style="33" customWidth="1"/>
    <col min="8430" max="8681" width="9.140625" style="33"/>
    <col min="8682" max="8682" width="18.42578125" style="33" customWidth="1"/>
    <col min="8683" max="8683" width="49.7109375" style="33" customWidth="1"/>
    <col min="8684" max="8684" width="13.42578125" style="33" customWidth="1"/>
    <col min="8685" max="8685" width="51.140625" style="33" customWidth="1"/>
    <col min="8686" max="8937" width="9.140625" style="33"/>
    <col min="8938" max="8938" width="18.42578125" style="33" customWidth="1"/>
    <col min="8939" max="8939" width="49.7109375" style="33" customWidth="1"/>
    <col min="8940" max="8940" width="13.42578125" style="33" customWidth="1"/>
    <col min="8941" max="8941" width="51.140625" style="33" customWidth="1"/>
    <col min="8942" max="9193" width="9.140625" style="33"/>
    <col min="9194" max="9194" width="18.42578125" style="33" customWidth="1"/>
    <col min="9195" max="9195" width="49.7109375" style="33" customWidth="1"/>
    <col min="9196" max="9196" width="13.42578125" style="33" customWidth="1"/>
    <col min="9197" max="9197" width="51.140625" style="33" customWidth="1"/>
    <col min="9198" max="9449" width="9.140625" style="33"/>
    <col min="9450" max="9450" width="18.42578125" style="33" customWidth="1"/>
    <col min="9451" max="9451" width="49.7109375" style="33" customWidth="1"/>
    <col min="9452" max="9452" width="13.42578125" style="33" customWidth="1"/>
    <col min="9453" max="9453" width="51.140625" style="33" customWidth="1"/>
    <col min="9454" max="9705" width="9.140625" style="33"/>
    <col min="9706" max="9706" width="18.42578125" style="33" customWidth="1"/>
    <col min="9707" max="9707" width="49.7109375" style="33" customWidth="1"/>
    <col min="9708" max="9708" width="13.42578125" style="33" customWidth="1"/>
    <col min="9709" max="9709" width="51.140625" style="33" customWidth="1"/>
    <col min="9710" max="9961" width="9.140625" style="33"/>
    <col min="9962" max="9962" width="18.42578125" style="33" customWidth="1"/>
    <col min="9963" max="9963" width="49.7109375" style="33" customWidth="1"/>
    <col min="9964" max="9964" width="13.42578125" style="33" customWidth="1"/>
    <col min="9965" max="9965" width="51.140625" style="33" customWidth="1"/>
    <col min="9966" max="10217" width="9.140625" style="33"/>
    <col min="10218" max="10218" width="18.42578125" style="33" customWidth="1"/>
    <col min="10219" max="10219" width="49.7109375" style="33" customWidth="1"/>
    <col min="10220" max="10220" width="13.42578125" style="33" customWidth="1"/>
    <col min="10221" max="10221" width="51.140625" style="33" customWidth="1"/>
    <col min="10222" max="10473" width="9.140625" style="33"/>
    <col min="10474" max="10474" width="18.42578125" style="33" customWidth="1"/>
    <col min="10475" max="10475" width="49.7109375" style="33" customWidth="1"/>
    <col min="10476" max="10476" width="13.42578125" style="33" customWidth="1"/>
    <col min="10477" max="10477" width="51.140625" style="33" customWidth="1"/>
    <col min="10478" max="10729" width="9.140625" style="33"/>
    <col min="10730" max="10730" width="18.42578125" style="33" customWidth="1"/>
    <col min="10731" max="10731" width="49.7109375" style="33" customWidth="1"/>
    <col min="10732" max="10732" width="13.42578125" style="33" customWidth="1"/>
    <col min="10733" max="10733" width="51.140625" style="33" customWidth="1"/>
    <col min="10734" max="10985" width="9.140625" style="33"/>
    <col min="10986" max="10986" width="18.42578125" style="33" customWidth="1"/>
    <col min="10987" max="10987" width="49.7109375" style="33" customWidth="1"/>
    <col min="10988" max="10988" width="13.42578125" style="33" customWidth="1"/>
    <col min="10989" max="10989" width="51.140625" style="33" customWidth="1"/>
    <col min="10990" max="11241" width="9.140625" style="33"/>
    <col min="11242" max="11242" width="18.42578125" style="33" customWidth="1"/>
    <col min="11243" max="11243" width="49.7109375" style="33" customWidth="1"/>
    <col min="11244" max="11244" width="13.42578125" style="33" customWidth="1"/>
    <col min="11245" max="11245" width="51.140625" style="33" customWidth="1"/>
    <col min="11246" max="11497" width="9.140625" style="33"/>
    <col min="11498" max="11498" width="18.42578125" style="33" customWidth="1"/>
    <col min="11499" max="11499" width="49.7109375" style="33" customWidth="1"/>
    <col min="11500" max="11500" width="13.42578125" style="33" customWidth="1"/>
    <col min="11501" max="11501" width="51.140625" style="33" customWidth="1"/>
    <col min="11502" max="11753" width="9.140625" style="33"/>
    <col min="11754" max="11754" width="18.42578125" style="33" customWidth="1"/>
    <col min="11755" max="11755" width="49.7109375" style="33" customWidth="1"/>
    <col min="11756" max="11756" width="13.42578125" style="33" customWidth="1"/>
    <col min="11757" max="11757" width="51.140625" style="33" customWidth="1"/>
    <col min="11758" max="12009" width="9.140625" style="33"/>
    <col min="12010" max="12010" width="18.42578125" style="33" customWidth="1"/>
    <col min="12011" max="12011" width="49.7109375" style="33" customWidth="1"/>
    <col min="12012" max="12012" width="13.42578125" style="33" customWidth="1"/>
    <col min="12013" max="12013" width="51.140625" style="33" customWidth="1"/>
    <col min="12014" max="12265" width="9.140625" style="33"/>
    <col min="12266" max="12266" width="18.42578125" style="33" customWidth="1"/>
    <col min="12267" max="12267" width="49.7109375" style="33" customWidth="1"/>
    <col min="12268" max="12268" width="13.42578125" style="33" customWidth="1"/>
    <col min="12269" max="12269" width="51.140625" style="33" customWidth="1"/>
    <col min="12270" max="12521" width="9.140625" style="33"/>
    <col min="12522" max="12522" width="18.42578125" style="33" customWidth="1"/>
    <col min="12523" max="12523" width="49.7109375" style="33" customWidth="1"/>
    <col min="12524" max="12524" width="13.42578125" style="33" customWidth="1"/>
    <col min="12525" max="12525" width="51.140625" style="33" customWidth="1"/>
    <col min="12526" max="12777" width="9.140625" style="33"/>
    <col min="12778" max="12778" width="18.42578125" style="33" customWidth="1"/>
    <col min="12779" max="12779" width="49.7109375" style="33" customWidth="1"/>
    <col min="12780" max="12780" width="13.42578125" style="33" customWidth="1"/>
    <col min="12781" max="12781" width="51.140625" style="33" customWidth="1"/>
    <col min="12782" max="13033" width="9.140625" style="33"/>
    <col min="13034" max="13034" width="18.42578125" style="33" customWidth="1"/>
    <col min="13035" max="13035" width="49.7109375" style="33" customWidth="1"/>
    <col min="13036" max="13036" width="13.42578125" style="33" customWidth="1"/>
    <col min="13037" max="13037" width="51.140625" style="33" customWidth="1"/>
    <col min="13038" max="13289" width="9.140625" style="33"/>
    <col min="13290" max="13290" width="18.42578125" style="33" customWidth="1"/>
    <col min="13291" max="13291" width="49.7109375" style="33" customWidth="1"/>
    <col min="13292" max="13292" width="13.42578125" style="33" customWidth="1"/>
    <col min="13293" max="13293" width="51.140625" style="33" customWidth="1"/>
    <col min="13294" max="13545" width="9.140625" style="33"/>
    <col min="13546" max="13546" width="18.42578125" style="33" customWidth="1"/>
    <col min="13547" max="13547" width="49.7109375" style="33" customWidth="1"/>
    <col min="13548" max="13548" width="13.42578125" style="33" customWidth="1"/>
    <col min="13549" max="13549" width="51.140625" style="33" customWidth="1"/>
    <col min="13550" max="13801" width="9.140625" style="33"/>
    <col min="13802" max="13802" width="18.42578125" style="33" customWidth="1"/>
    <col min="13803" max="13803" width="49.7109375" style="33" customWidth="1"/>
    <col min="13804" max="13804" width="13.42578125" style="33" customWidth="1"/>
    <col min="13805" max="13805" width="51.140625" style="33" customWidth="1"/>
    <col min="13806" max="14057" width="9.140625" style="33"/>
    <col min="14058" max="14058" width="18.42578125" style="33" customWidth="1"/>
    <col min="14059" max="14059" width="49.7109375" style="33" customWidth="1"/>
    <col min="14060" max="14060" width="13.42578125" style="33" customWidth="1"/>
    <col min="14061" max="14061" width="51.140625" style="33" customWidth="1"/>
    <col min="14062" max="14313" width="9.140625" style="33"/>
    <col min="14314" max="14314" width="18.42578125" style="33" customWidth="1"/>
    <col min="14315" max="14315" width="49.7109375" style="33" customWidth="1"/>
    <col min="14316" max="14316" width="13.42578125" style="33" customWidth="1"/>
    <col min="14317" max="14317" width="51.140625" style="33" customWidth="1"/>
    <col min="14318" max="14569" width="9.140625" style="33"/>
    <col min="14570" max="14570" width="18.42578125" style="33" customWidth="1"/>
    <col min="14571" max="14571" width="49.7109375" style="33" customWidth="1"/>
    <col min="14572" max="14572" width="13.42578125" style="33" customWidth="1"/>
    <col min="14573" max="14573" width="51.140625" style="33" customWidth="1"/>
    <col min="14574" max="14825" width="9.140625" style="33"/>
    <col min="14826" max="14826" width="18.42578125" style="33" customWidth="1"/>
    <col min="14827" max="14827" width="49.7109375" style="33" customWidth="1"/>
    <col min="14828" max="14828" width="13.42578125" style="33" customWidth="1"/>
    <col min="14829" max="14829" width="51.140625" style="33" customWidth="1"/>
    <col min="14830" max="15081" width="9.140625" style="33"/>
    <col min="15082" max="15082" width="18.42578125" style="33" customWidth="1"/>
    <col min="15083" max="15083" width="49.7109375" style="33" customWidth="1"/>
    <col min="15084" max="15084" width="13.42578125" style="33" customWidth="1"/>
    <col min="15085" max="15085" width="51.140625" style="33" customWidth="1"/>
    <col min="15086" max="15337" width="9.140625" style="33"/>
    <col min="15338" max="15338" width="18.42578125" style="33" customWidth="1"/>
    <col min="15339" max="15339" width="49.7109375" style="33" customWidth="1"/>
    <col min="15340" max="15340" width="13.42578125" style="33" customWidth="1"/>
    <col min="15341" max="15341" width="51.140625" style="33" customWidth="1"/>
    <col min="15342" max="15593" width="9.140625" style="33"/>
    <col min="15594" max="15594" width="18.42578125" style="33" customWidth="1"/>
    <col min="15595" max="15595" width="49.7109375" style="33" customWidth="1"/>
    <col min="15596" max="15596" width="13.42578125" style="33" customWidth="1"/>
    <col min="15597" max="15597" width="51.140625" style="33" customWidth="1"/>
    <col min="15598" max="15849" width="9.140625" style="33"/>
    <col min="15850" max="15850" width="18.42578125" style="33" customWidth="1"/>
    <col min="15851" max="15851" width="49.7109375" style="33" customWidth="1"/>
    <col min="15852" max="15852" width="13.42578125" style="33" customWidth="1"/>
    <col min="15853" max="15853" width="51.140625" style="33" customWidth="1"/>
    <col min="15854" max="16105" width="9.140625" style="33"/>
    <col min="16106" max="16106" width="18.42578125" style="33" customWidth="1"/>
    <col min="16107" max="16107" width="49.7109375" style="33" customWidth="1"/>
    <col min="16108" max="16108" width="13.42578125" style="33" customWidth="1"/>
    <col min="16109" max="16109" width="51.140625" style="33" customWidth="1"/>
    <col min="16110" max="16384" width="9.140625" style="33"/>
  </cols>
  <sheetData>
    <row r="1" spans="1:86" ht="18.75" thickBot="1" x14ac:dyDescent="0.25">
      <c r="B1" s="432" t="s">
        <v>65</v>
      </c>
      <c r="C1" s="433"/>
      <c r="D1" s="433"/>
      <c r="E1" s="433"/>
      <c r="F1" s="433"/>
      <c r="G1" s="434"/>
      <c r="H1" s="38"/>
      <c r="I1" s="35"/>
      <c r="J1" s="38"/>
      <c r="K1" s="364"/>
      <c r="L1" s="365"/>
      <c r="M1" s="365"/>
      <c r="N1" s="365"/>
      <c r="O1" s="365"/>
      <c r="P1" s="365"/>
      <c r="Q1" s="365"/>
      <c r="R1" s="365"/>
      <c r="S1" s="365"/>
      <c r="T1" s="365"/>
      <c r="U1" s="365"/>
      <c r="V1" s="365"/>
      <c r="W1" s="365"/>
      <c r="X1" s="365"/>
      <c r="Y1" s="365"/>
      <c r="Z1" s="365"/>
      <c r="AA1" s="66"/>
      <c r="AB1" s="67"/>
      <c r="AC1" s="37"/>
      <c r="AD1" s="32"/>
    </row>
    <row r="2" spans="1:86" ht="13.5" thickBot="1" x14ac:dyDescent="0.25">
      <c r="B2" s="52" t="s">
        <v>66</v>
      </c>
      <c r="C2" s="402" t="str">
        <f>'Intake Form'!C4:H4</f>
        <v>CloudMed DRG Validation &amp; Underpayment Implementation</v>
      </c>
      <c r="D2" s="443"/>
      <c r="E2" s="41" t="s">
        <v>67</v>
      </c>
      <c r="F2" s="402"/>
      <c r="G2" s="403"/>
      <c r="H2" s="38"/>
      <c r="I2" s="35"/>
      <c r="J2" s="38"/>
      <c r="K2" s="68"/>
      <c r="L2" s="83"/>
      <c r="M2" s="83"/>
      <c r="N2" s="83"/>
      <c r="O2" s="83"/>
      <c r="P2" s="83"/>
      <c r="Q2" s="83"/>
      <c r="R2" s="83"/>
      <c r="S2" s="83"/>
      <c r="T2" s="83"/>
      <c r="U2" s="83"/>
      <c r="V2" s="69"/>
      <c r="W2" s="69"/>
      <c r="X2" s="69"/>
      <c r="Y2" s="69"/>
      <c r="Z2" s="69"/>
      <c r="AA2" s="69"/>
      <c r="AB2" s="70"/>
      <c r="AC2" s="37"/>
      <c r="AD2" s="32"/>
    </row>
    <row r="3" spans="1:86" ht="12.75" customHeight="1" thickBot="1" x14ac:dyDescent="0.25">
      <c r="B3" s="53" t="s">
        <v>68</v>
      </c>
      <c r="C3" s="402"/>
      <c r="D3" s="443"/>
      <c r="E3" s="42" t="s">
        <v>69</v>
      </c>
      <c r="F3" s="402"/>
      <c r="G3" s="403"/>
      <c r="H3" s="38"/>
      <c r="I3" s="35"/>
      <c r="J3" s="38"/>
      <c r="K3" s="417" t="s">
        <v>70</v>
      </c>
      <c r="L3" s="418"/>
      <c r="M3" s="418"/>
      <c r="N3" s="418"/>
      <c r="O3" s="418"/>
      <c r="P3" s="418"/>
      <c r="Q3" s="83"/>
      <c r="R3" s="83"/>
      <c r="S3" s="83"/>
      <c r="T3" s="83"/>
      <c r="U3" s="83"/>
      <c r="V3" s="69"/>
      <c r="W3" s="69"/>
      <c r="X3" s="69"/>
      <c r="Y3" s="69"/>
      <c r="Z3" s="69"/>
      <c r="AA3" s="69"/>
      <c r="AB3" s="70"/>
      <c r="AC3" s="37"/>
      <c r="AD3" s="32"/>
    </row>
    <row r="4" spans="1:86" ht="12.75" customHeight="1" x14ac:dyDescent="0.2">
      <c r="B4" s="53" t="s">
        <v>71</v>
      </c>
      <c r="C4" s="402"/>
      <c r="D4" s="443"/>
      <c r="E4" s="42" t="s">
        <v>72</v>
      </c>
      <c r="F4" s="402"/>
      <c r="G4" s="403"/>
      <c r="H4" s="38"/>
      <c r="I4" s="35"/>
      <c r="J4" s="38"/>
      <c r="K4" s="417"/>
      <c r="L4" s="418"/>
      <c r="M4" s="418"/>
      <c r="N4" s="418"/>
      <c r="O4" s="418"/>
      <c r="P4" s="418"/>
      <c r="Q4" s="83"/>
      <c r="R4" s="83"/>
      <c r="S4" s="83"/>
      <c r="T4" s="83"/>
      <c r="U4" s="83"/>
      <c r="V4" s="69"/>
      <c r="W4" s="69"/>
      <c r="X4" s="69"/>
      <c r="Y4" s="69"/>
      <c r="Z4" s="69"/>
      <c r="AA4" s="69"/>
      <c r="AB4" s="70"/>
      <c r="AC4" s="37"/>
      <c r="AD4" s="32"/>
    </row>
    <row r="5" spans="1:86" ht="12.75" customHeight="1" x14ac:dyDescent="0.2">
      <c r="B5" s="54"/>
      <c r="C5" s="78"/>
      <c r="D5" s="43"/>
      <c r="E5" s="79"/>
      <c r="F5" s="79"/>
      <c r="G5" s="55"/>
      <c r="H5" s="38"/>
      <c r="I5" s="35"/>
      <c r="J5" s="38"/>
      <c r="K5" s="417"/>
      <c r="L5" s="418"/>
      <c r="M5" s="418"/>
      <c r="N5" s="418"/>
      <c r="O5" s="418"/>
      <c r="P5" s="418"/>
      <c r="Q5" s="83"/>
      <c r="R5" s="83"/>
      <c r="S5" s="83"/>
      <c r="T5" s="83"/>
      <c r="U5" s="83"/>
      <c r="V5" s="69"/>
      <c r="W5" s="69"/>
      <c r="X5" s="69"/>
      <c r="Y5" s="69"/>
      <c r="Z5" s="69"/>
      <c r="AA5" s="69"/>
      <c r="AB5" s="70"/>
      <c r="AC5" s="37"/>
      <c r="AD5" s="32"/>
    </row>
    <row r="6" spans="1:86" ht="72" customHeight="1" x14ac:dyDescent="0.2">
      <c r="B6" s="107" t="s">
        <v>73</v>
      </c>
      <c r="C6" s="393"/>
      <c r="D6" s="404"/>
      <c r="E6" s="404"/>
      <c r="F6" s="404"/>
      <c r="G6" s="405"/>
      <c r="H6" s="38"/>
      <c r="I6" s="35"/>
      <c r="J6" s="38"/>
      <c r="K6" s="408" t="s">
        <v>74</v>
      </c>
      <c r="L6" s="409"/>
      <c r="M6" s="409"/>
      <c r="N6" s="409"/>
      <c r="O6" s="409"/>
      <c r="P6" s="409"/>
      <c r="Q6" s="83"/>
      <c r="R6" s="419"/>
      <c r="S6" s="419"/>
      <c r="T6" s="419"/>
      <c r="U6" s="419"/>
      <c r="V6" s="419"/>
      <c r="W6" s="419"/>
      <c r="X6" s="419"/>
      <c r="Y6" s="419"/>
      <c r="Z6" s="419"/>
      <c r="AA6" s="419"/>
      <c r="AB6" s="420"/>
      <c r="AC6" s="37"/>
      <c r="AD6" s="32"/>
    </row>
    <row r="7" spans="1:86" ht="76.5" customHeight="1" x14ac:dyDescent="0.2">
      <c r="B7" s="107" t="s">
        <v>75</v>
      </c>
      <c r="C7" s="393"/>
      <c r="D7" s="404"/>
      <c r="E7" s="404"/>
      <c r="F7" s="404"/>
      <c r="G7" s="405"/>
      <c r="H7" s="38"/>
      <c r="I7" s="35"/>
      <c r="J7" s="38"/>
      <c r="K7" s="408" t="s">
        <v>76</v>
      </c>
      <c r="L7" s="409"/>
      <c r="M7" s="409"/>
      <c r="N7" s="409"/>
      <c r="O7" s="409"/>
      <c r="P7" s="409"/>
      <c r="Q7" s="83"/>
      <c r="R7" s="419"/>
      <c r="S7" s="419"/>
      <c r="T7" s="419"/>
      <c r="U7" s="419"/>
      <c r="V7" s="419"/>
      <c r="W7" s="419"/>
      <c r="X7" s="419"/>
      <c r="Y7" s="419"/>
      <c r="Z7" s="419"/>
      <c r="AA7" s="419"/>
      <c r="AB7" s="420"/>
      <c r="AC7" s="37"/>
      <c r="AD7" s="32"/>
    </row>
    <row r="8" spans="1:86" ht="72" customHeight="1" x14ac:dyDescent="0.2">
      <c r="B8" s="107" t="s">
        <v>77</v>
      </c>
      <c r="C8" s="393"/>
      <c r="D8" s="404"/>
      <c r="E8" s="404"/>
      <c r="F8" s="404"/>
      <c r="G8" s="405"/>
      <c r="H8" s="38"/>
      <c r="I8" s="35"/>
      <c r="J8" s="38"/>
      <c r="K8" s="408" t="s">
        <v>78</v>
      </c>
      <c r="L8" s="409"/>
      <c r="M8" s="409"/>
      <c r="N8" s="409"/>
      <c r="O8" s="409"/>
      <c r="P8" s="409"/>
      <c r="Q8" s="84"/>
      <c r="R8" s="419"/>
      <c r="S8" s="419"/>
      <c r="T8" s="419"/>
      <c r="U8" s="419"/>
      <c r="V8" s="419"/>
      <c r="W8" s="419"/>
      <c r="X8" s="419"/>
      <c r="Y8" s="419"/>
      <c r="Z8" s="419"/>
      <c r="AA8" s="419"/>
      <c r="AB8" s="420"/>
      <c r="AC8" s="37"/>
      <c r="AD8" s="32"/>
    </row>
    <row r="9" spans="1:86" s="34" customFormat="1" x14ac:dyDescent="0.2">
      <c r="A9" s="37"/>
      <c r="B9" s="80"/>
      <c r="C9" s="81"/>
      <c r="D9" s="81"/>
      <c r="E9" s="81"/>
      <c r="F9" s="81"/>
      <c r="G9" s="82"/>
      <c r="H9" s="38"/>
      <c r="I9" s="46"/>
      <c r="J9" s="38"/>
      <c r="K9" s="71"/>
      <c r="L9" s="84"/>
      <c r="M9" s="84"/>
      <c r="N9" s="84"/>
      <c r="O9" s="84"/>
      <c r="P9" s="84"/>
      <c r="Q9" s="84"/>
      <c r="R9" s="84"/>
      <c r="S9" s="84"/>
      <c r="T9" s="84"/>
      <c r="U9" s="84"/>
      <c r="V9" s="72"/>
      <c r="W9" s="72"/>
      <c r="X9" s="72"/>
      <c r="Y9" s="72"/>
      <c r="Z9" s="72"/>
      <c r="AA9" s="72"/>
      <c r="AB9" s="73"/>
      <c r="AC9" s="37"/>
      <c r="AD9" s="32"/>
      <c r="AE9" s="65"/>
      <c r="AF9" s="65"/>
      <c r="AG9" s="65"/>
      <c r="AH9" s="65"/>
      <c r="AI9" s="65"/>
      <c r="AJ9" s="65"/>
      <c r="AK9" s="65"/>
      <c r="AL9" s="65"/>
      <c r="AM9" s="65"/>
      <c r="AN9" s="65"/>
      <c r="AO9" s="65"/>
      <c r="AP9" s="65"/>
      <c r="AQ9" s="65"/>
      <c r="AR9" s="65"/>
      <c r="AS9" s="65"/>
      <c r="AT9" s="65"/>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row>
    <row r="10" spans="1:86" ht="15" customHeight="1" x14ac:dyDescent="0.2">
      <c r="B10" s="435" t="s">
        <v>79</v>
      </c>
      <c r="C10" s="441" t="s">
        <v>80</v>
      </c>
      <c r="D10" s="442"/>
      <c r="E10" s="436" t="s">
        <v>81</v>
      </c>
      <c r="F10" s="436"/>
      <c r="G10" s="437"/>
      <c r="H10" s="38"/>
      <c r="I10" s="35"/>
      <c r="J10" s="38"/>
      <c r="K10" s="406" t="s">
        <v>82</v>
      </c>
      <c r="L10" s="407"/>
      <c r="M10" s="407"/>
      <c r="N10" s="407"/>
      <c r="O10" s="407"/>
      <c r="P10" s="407"/>
      <c r="Q10" s="83"/>
      <c r="R10" s="83"/>
      <c r="S10" s="83"/>
      <c r="T10" s="83"/>
      <c r="U10" s="83"/>
      <c r="V10" s="69"/>
      <c r="W10" s="69"/>
      <c r="X10" s="69"/>
      <c r="Y10" s="69"/>
      <c r="Z10" s="69"/>
      <c r="AA10" s="69"/>
      <c r="AB10" s="70"/>
      <c r="AC10" s="37"/>
      <c r="AD10" s="32"/>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row>
    <row r="11" spans="1:86" x14ac:dyDescent="0.2">
      <c r="B11" s="435"/>
      <c r="C11" s="393"/>
      <c r="D11" s="394"/>
      <c r="E11" s="438"/>
      <c r="F11" s="438"/>
      <c r="G11" s="439"/>
      <c r="H11" s="38"/>
      <c r="I11" s="35"/>
      <c r="J11" s="38"/>
      <c r="K11" s="406"/>
      <c r="L11" s="407"/>
      <c r="M11" s="407"/>
      <c r="N11" s="407"/>
      <c r="O11" s="407"/>
      <c r="P11" s="407"/>
      <c r="Q11" s="83"/>
      <c r="R11" s="83"/>
      <c r="S11" s="83"/>
      <c r="T11" s="83"/>
      <c r="U11" s="83"/>
      <c r="V11" s="69"/>
      <c r="W11" s="69"/>
      <c r="X11" s="69"/>
      <c r="Y11" s="69"/>
      <c r="Z11" s="69"/>
      <c r="AA11" s="69"/>
      <c r="AB11" s="70"/>
      <c r="AC11" s="37"/>
      <c r="AD11" s="32"/>
    </row>
    <row r="12" spans="1:86" ht="12" customHeight="1" x14ac:dyDescent="0.2">
      <c r="B12" s="435"/>
      <c r="C12" s="393"/>
      <c r="D12" s="394"/>
      <c r="E12" s="438"/>
      <c r="F12" s="438"/>
      <c r="G12" s="439"/>
      <c r="H12" s="38"/>
      <c r="I12" s="35"/>
      <c r="J12" s="38"/>
      <c r="K12" s="414" t="s">
        <v>83</v>
      </c>
      <c r="L12" s="415"/>
      <c r="M12" s="415"/>
      <c r="N12" s="415"/>
      <c r="O12" s="415"/>
      <c r="P12" s="415"/>
      <c r="Q12" s="74"/>
      <c r="R12" s="411"/>
      <c r="S12" s="411"/>
      <c r="T12" s="411"/>
      <c r="U12" s="411"/>
      <c r="V12" s="411"/>
      <c r="W12" s="411"/>
      <c r="X12" s="411"/>
      <c r="Y12" s="411"/>
      <c r="Z12" s="411"/>
      <c r="AA12" s="411"/>
      <c r="AB12" s="416"/>
      <c r="AC12" s="37"/>
      <c r="AD12" s="32"/>
    </row>
    <row r="13" spans="1:86" x14ac:dyDescent="0.2">
      <c r="B13" s="435"/>
      <c r="C13" s="393"/>
      <c r="D13" s="394"/>
      <c r="E13" s="440"/>
      <c r="F13" s="440"/>
      <c r="G13" s="439"/>
      <c r="H13" s="38"/>
      <c r="I13" s="35"/>
      <c r="J13" s="38"/>
      <c r="K13" s="414"/>
      <c r="L13" s="415"/>
      <c r="M13" s="415"/>
      <c r="N13" s="415"/>
      <c r="O13" s="415"/>
      <c r="P13" s="415"/>
      <c r="Q13" s="74"/>
      <c r="R13" s="411"/>
      <c r="S13" s="411"/>
      <c r="T13" s="411"/>
      <c r="U13" s="411"/>
      <c r="V13" s="411"/>
      <c r="W13" s="411"/>
      <c r="X13" s="411"/>
      <c r="Y13" s="411"/>
      <c r="Z13" s="411"/>
      <c r="AA13" s="411"/>
      <c r="AB13" s="416"/>
      <c r="AC13" s="37"/>
      <c r="AD13" s="32"/>
    </row>
    <row r="14" spans="1:86" ht="12.75" customHeight="1" x14ac:dyDescent="0.2">
      <c r="B14" s="358" t="s">
        <v>84</v>
      </c>
      <c r="C14" s="395" t="s">
        <v>85</v>
      </c>
      <c r="D14" s="396"/>
      <c r="E14" s="397"/>
      <c r="F14" s="398" t="s">
        <v>86</v>
      </c>
      <c r="G14" s="399"/>
      <c r="H14" s="38"/>
      <c r="I14" s="35"/>
      <c r="J14" s="38"/>
      <c r="K14" s="414"/>
      <c r="L14" s="415"/>
      <c r="M14" s="415"/>
      <c r="N14" s="415"/>
      <c r="O14" s="415"/>
      <c r="P14" s="415"/>
      <c r="Q14" s="74"/>
      <c r="R14" s="411"/>
      <c r="S14" s="411"/>
      <c r="T14" s="411"/>
      <c r="U14" s="411"/>
      <c r="V14" s="411"/>
      <c r="W14" s="411"/>
      <c r="X14" s="411"/>
      <c r="Y14" s="411"/>
      <c r="Z14" s="411"/>
      <c r="AA14" s="411"/>
      <c r="AB14" s="416"/>
      <c r="AC14" s="37"/>
      <c r="AD14" s="32"/>
    </row>
    <row r="15" spans="1:86" ht="15" customHeight="1" x14ac:dyDescent="0.2">
      <c r="B15" s="359"/>
      <c r="C15" s="385"/>
      <c r="D15" s="385"/>
      <c r="E15" s="385"/>
      <c r="F15" s="400" t="s">
        <v>87</v>
      </c>
      <c r="G15" s="401"/>
      <c r="H15" s="38"/>
      <c r="I15" s="35"/>
      <c r="J15" s="38"/>
      <c r="K15" s="414"/>
      <c r="L15" s="415"/>
      <c r="M15" s="415"/>
      <c r="N15" s="415"/>
      <c r="O15" s="415"/>
      <c r="P15" s="415"/>
      <c r="Q15" s="74"/>
      <c r="R15" s="411"/>
      <c r="S15" s="411"/>
      <c r="T15" s="411"/>
      <c r="U15" s="411"/>
      <c r="V15" s="411"/>
      <c r="W15" s="411"/>
      <c r="X15" s="411"/>
      <c r="Y15" s="411"/>
      <c r="Z15" s="411"/>
      <c r="AA15" s="411"/>
      <c r="AB15" s="416"/>
      <c r="AC15" s="37"/>
      <c r="AD15" s="32"/>
    </row>
    <row r="16" spans="1:86" x14ac:dyDescent="0.2">
      <c r="B16" s="359"/>
      <c r="C16" s="385"/>
      <c r="D16" s="385"/>
      <c r="E16" s="385"/>
      <c r="F16" s="386"/>
      <c r="G16" s="387"/>
      <c r="H16" s="38"/>
      <c r="I16" s="35"/>
      <c r="J16" s="38"/>
      <c r="K16" s="414"/>
      <c r="L16" s="415"/>
      <c r="M16" s="415"/>
      <c r="N16" s="415"/>
      <c r="O16" s="415"/>
      <c r="P16" s="415"/>
      <c r="Q16" s="74"/>
      <c r="R16" s="411"/>
      <c r="S16" s="411"/>
      <c r="T16" s="411"/>
      <c r="U16" s="411"/>
      <c r="V16" s="411"/>
      <c r="W16" s="411"/>
      <c r="X16" s="411"/>
      <c r="Y16" s="411"/>
      <c r="Z16" s="411"/>
      <c r="AA16" s="411"/>
      <c r="AB16" s="416"/>
      <c r="AC16" s="37"/>
      <c r="AD16" s="32"/>
    </row>
    <row r="17" spans="2:30" ht="12.75" customHeight="1" x14ac:dyDescent="0.2">
      <c r="B17" s="359"/>
      <c r="C17" s="385"/>
      <c r="D17" s="385"/>
      <c r="E17" s="385"/>
      <c r="F17" s="386"/>
      <c r="G17" s="387"/>
      <c r="H17" s="38"/>
      <c r="I17" s="35"/>
      <c r="J17" s="38"/>
      <c r="K17" s="414" t="s">
        <v>88</v>
      </c>
      <c r="L17" s="415"/>
      <c r="M17" s="415"/>
      <c r="N17" s="415"/>
      <c r="O17" s="415"/>
      <c r="P17" s="415"/>
      <c r="Q17" s="74"/>
      <c r="R17" s="411"/>
      <c r="S17" s="411"/>
      <c r="T17" s="411"/>
      <c r="U17" s="411"/>
      <c r="V17" s="411"/>
      <c r="W17" s="411"/>
      <c r="X17" s="411"/>
      <c r="Y17" s="411"/>
      <c r="Z17" s="411"/>
      <c r="AA17" s="411"/>
      <c r="AB17" s="416"/>
      <c r="AC17" s="37"/>
      <c r="AD17" s="32"/>
    </row>
    <row r="18" spans="2:30" x14ac:dyDescent="0.2">
      <c r="B18" s="359"/>
      <c r="C18" s="385"/>
      <c r="D18" s="385"/>
      <c r="E18" s="385"/>
      <c r="F18" s="386" t="s">
        <v>89</v>
      </c>
      <c r="G18" s="387"/>
      <c r="H18" s="38"/>
      <c r="I18" s="35"/>
      <c r="J18" s="38"/>
      <c r="K18" s="414"/>
      <c r="L18" s="415"/>
      <c r="M18" s="415"/>
      <c r="N18" s="415"/>
      <c r="O18" s="415"/>
      <c r="P18" s="415"/>
      <c r="Q18" s="74"/>
      <c r="R18" s="411"/>
      <c r="S18" s="411"/>
      <c r="T18" s="411"/>
      <c r="U18" s="411"/>
      <c r="V18" s="411"/>
      <c r="W18" s="411"/>
      <c r="X18" s="411"/>
      <c r="Y18" s="411"/>
      <c r="Z18" s="411"/>
      <c r="AA18" s="411"/>
      <c r="AB18" s="416"/>
      <c r="AC18" s="37"/>
      <c r="AD18" s="32"/>
    </row>
    <row r="19" spans="2:30" x14ac:dyDescent="0.2">
      <c r="B19" s="359"/>
      <c r="C19" s="385"/>
      <c r="D19" s="385"/>
      <c r="E19" s="385"/>
      <c r="F19" s="386"/>
      <c r="G19" s="387"/>
      <c r="H19" s="38"/>
      <c r="I19" s="35"/>
      <c r="J19" s="38"/>
      <c r="K19" s="414"/>
      <c r="L19" s="415"/>
      <c r="M19" s="415"/>
      <c r="N19" s="415"/>
      <c r="O19" s="415"/>
      <c r="P19" s="415"/>
      <c r="Q19" s="74"/>
      <c r="R19" s="411"/>
      <c r="S19" s="411"/>
      <c r="T19" s="411"/>
      <c r="U19" s="411"/>
      <c r="V19" s="411"/>
      <c r="W19" s="411"/>
      <c r="X19" s="411"/>
      <c r="Y19" s="411"/>
      <c r="Z19" s="411"/>
      <c r="AA19" s="411"/>
      <c r="AB19" s="416"/>
      <c r="AC19" s="37"/>
      <c r="AD19" s="32"/>
    </row>
    <row r="20" spans="2:30" x14ac:dyDescent="0.2">
      <c r="B20" s="359"/>
      <c r="C20" s="385"/>
      <c r="D20" s="385"/>
      <c r="E20" s="385"/>
      <c r="F20" s="386"/>
      <c r="G20" s="387"/>
      <c r="H20" s="38"/>
      <c r="I20" s="35"/>
      <c r="J20" s="38"/>
      <c r="K20" s="414"/>
      <c r="L20" s="415"/>
      <c r="M20" s="415"/>
      <c r="N20" s="415"/>
      <c r="O20" s="415"/>
      <c r="P20" s="415"/>
      <c r="Q20" s="74"/>
      <c r="R20" s="411"/>
      <c r="S20" s="411"/>
      <c r="T20" s="411"/>
      <c r="U20" s="411"/>
      <c r="V20" s="411"/>
      <c r="W20" s="411"/>
      <c r="X20" s="411"/>
      <c r="Y20" s="411"/>
      <c r="Z20" s="411"/>
      <c r="AA20" s="411"/>
      <c r="AB20" s="416"/>
      <c r="AC20" s="37"/>
      <c r="AD20" s="32"/>
    </row>
    <row r="21" spans="2:30" x14ac:dyDescent="0.2">
      <c r="B21" s="359"/>
      <c r="C21" s="385"/>
      <c r="D21" s="385"/>
      <c r="E21" s="385"/>
      <c r="F21" s="386" t="s">
        <v>90</v>
      </c>
      <c r="G21" s="387"/>
      <c r="H21" s="38"/>
      <c r="I21" s="35"/>
      <c r="J21" s="38"/>
      <c r="K21" s="414"/>
      <c r="L21" s="415"/>
      <c r="M21" s="415"/>
      <c r="N21" s="415"/>
      <c r="O21" s="415"/>
      <c r="P21" s="415"/>
      <c r="Q21" s="74"/>
      <c r="R21" s="411"/>
      <c r="S21" s="411"/>
      <c r="T21" s="411"/>
      <c r="U21" s="411"/>
      <c r="V21" s="411"/>
      <c r="W21" s="411"/>
      <c r="X21" s="411"/>
      <c r="Y21" s="411"/>
      <c r="Z21" s="411"/>
      <c r="AA21" s="411"/>
      <c r="AB21" s="416"/>
      <c r="AC21" s="37"/>
      <c r="AD21" s="32"/>
    </row>
    <row r="22" spans="2:30" x14ac:dyDescent="0.2">
      <c r="B22" s="359"/>
      <c r="C22" s="385"/>
      <c r="D22" s="385"/>
      <c r="E22" s="385"/>
      <c r="F22" s="386"/>
      <c r="G22" s="387"/>
      <c r="H22" s="38"/>
      <c r="I22" s="35"/>
      <c r="J22" s="38"/>
      <c r="K22" s="406" t="s">
        <v>91</v>
      </c>
      <c r="L22" s="407"/>
      <c r="M22" s="407"/>
      <c r="N22" s="407"/>
      <c r="O22" s="407"/>
      <c r="P22" s="407"/>
      <c r="Q22" s="83"/>
      <c r="R22" s="83"/>
      <c r="S22" s="83"/>
      <c r="T22" s="83"/>
      <c r="U22" s="83"/>
      <c r="V22" s="69"/>
      <c r="W22" s="69"/>
      <c r="X22" s="69"/>
      <c r="Y22" s="69"/>
      <c r="Z22" s="69"/>
      <c r="AA22" s="69"/>
      <c r="AB22" s="70"/>
      <c r="AC22" s="37"/>
      <c r="AD22" s="32"/>
    </row>
    <row r="23" spans="2:30" x14ac:dyDescent="0.2">
      <c r="B23" s="359"/>
      <c r="C23" s="385"/>
      <c r="D23" s="385"/>
      <c r="E23" s="385"/>
      <c r="F23" s="386"/>
      <c r="G23" s="387"/>
      <c r="H23" s="38"/>
      <c r="I23" s="35"/>
      <c r="J23" s="38"/>
      <c r="K23" s="406"/>
      <c r="L23" s="407"/>
      <c r="M23" s="407"/>
      <c r="N23" s="407"/>
      <c r="O23" s="407"/>
      <c r="P23" s="407"/>
      <c r="Q23" s="83"/>
      <c r="R23" s="83"/>
      <c r="S23" s="83"/>
      <c r="T23" s="83"/>
      <c r="U23" s="83"/>
      <c r="V23" s="69"/>
      <c r="W23" s="69"/>
      <c r="X23" s="69"/>
      <c r="Y23" s="69"/>
      <c r="Z23" s="69"/>
      <c r="AA23" s="69"/>
      <c r="AB23" s="70"/>
      <c r="AC23" s="37"/>
      <c r="AD23" s="32"/>
    </row>
    <row r="24" spans="2:30" x14ac:dyDescent="0.2">
      <c r="B24" s="359"/>
      <c r="C24" s="385"/>
      <c r="D24" s="385"/>
      <c r="E24" s="385"/>
      <c r="F24" s="386"/>
      <c r="G24" s="387"/>
      <c r="H24" s="38"/>
      <c r="I24" s="35"/>
      <c r="J24" s="38"/>
      <c r="K24" s="414" t="s">
        <v>92</v>
      </c>
      <c r="L24" s="415"/>
      <c r="M24" s="415"/>
      <c r="N24" s="415"/>
      <c r="O24" s="415"/>
      <c r="P24" s="415"/>
      <c r="Q24" s="74"/>
      <c r="R24" s="411"/>
      <c r="S24" s="411"/>
      <c r="T24" s="411"/>
      <c r="U24" s="411"/>
      <c r="V24" s="411"/>
      <c r="W24" s="411"/>
      <c r="X24" s="411"/>
      <c r="Y24" s="411"/>
      <c r="Z24" s="411"/>
      <c r="AA24" s="411"/>
      <c r="AB24" s="416"/>
      <c r="AC24" s="37"/>
      <c r="AD24" s="32"/>
    </row>
    <row r="25" spans="2:30" x14ac:dyDescent="0.2">
      <c r="B25" s="388"/>
      <c r="C25" s="389"/>
      <c r="D25" s="389"/>
      <c r="E25" s="389"/>
      <c r="F25" s="389"/>
      <c r="G25" s="390"/>
      <c r="H25" s="38"/>
      <c r="I25" s="35"/>
      <c r="J25" s="38"/>
      <c r="K25" s="414"/>
      <c r="L25" s="415"/>
      <c r="M25" s="415"/>
      <c r="N25" s="415"/>
      <c r="O25" s="415"/>
      <c r="P25" s="415"/>
      <c r="Q25" s="74"/>
      <c r="R25" s="411"/>
      <c r="S25" s="411"/>
      <c r="T25" s="411"/>
      <c r="U25" s="411"/>
      <c r="V25" s="411"/>
      <c r="W25" s="411"/>
      <c r="X25" s="411"/>
      <c r="Y25" s="411"/>
      <c r="Z25" s="411"/>
      <c r="AA25" s="411"/>
      <c r="AB25" s="416"/>
      <c r="AC25" s="37"/>
      <c r="AD25" s="32"/>
    </row>
    <row r="26" spans="2:30" x14ac:dyDescent="0.2">
      <c r="B26" s="370" t="s">
        <v>93</v>
      </c>
      <c r="C26" s="362"/>
      <c r="D26" s="362"/>
      <c r="E26" s="362"/>
      <c r="F26" s="391" t="s">
        <v>94</v>
      </c>
      <c r="G26" s="392"/>
      <c r="H26" s="38"/>
      <c r="I26" s="35"/>
      <c r="J26" s="38"/>
      <c r="K26" s="414"/>
      <c r="L26" s="415"/>
      <c r="M26" s="415"/>
      <c r="N26" s="415"/>
      <c r="O26" s="415"/>
      <c r="P26" s="415"/>
      <c r="Q26" s="74"/>
      <c r="R26" s="411"/>
      <c r="S26" s="411"/>
      <c r="T26" s="411"/>
      <c r="U26" s="411"/>
      <c r="V26" s="411"/>
      <c r="W26" s="411"/>
      <c r="X26" s="411"/>
      <c r="Y26" s="411"/>
      <c r="Z26" s="411"/>
      <c r="AA26" s="411"/>
      <c r="AB26" s="416"/>
      <c r="AC26" s="37"/>
      <c r="AD26" s="32"/>
    </row>
    <row r="27" spans="2:30" x14ac:dyDescent="0.2">
      <c r="B27" s="370"/>
      <c r="C27" s="362"/>
      <c r="D27" s="362"/>
      <c r="E27" s="362"/>
      <c r="F27" s="371"/>
      <c r="G27" s="372"/>
      <c r="H27" s="38"/>
      <c r="I27" s="35"/>
      <c r="J27" s="38"/>
      <c r="K27" s="414"/>
      <c r="L27" s="415"/>
      <c r="M27" s="415"/>
      <c r="N27" s="415"/>
      <c r="O27" s="415"/>
      <c r="P27" s="415"/>
      <c r="Q27" s="74"/>
      <c r="R27" s="411"/>
      <c r="S27" s="411"/>
      <c r="T27" s="411"/>
      <c r="U27" s="411"/>
      <c r="V27" s="411"/>
      <c r="W27" s="411"/>
      <c r="X27" s="411"/>
      <c r="Y27" s="411"/>
      <c r="Z27" s="411"/>
      <c r="AA27" s="411"/>
      <c r="AB27" s="416"/>
      <c r="AC27" s="37"/>
      <c r="AD27" s="32"/>
    </row>
    <row r="28" spans="2:30" x14ac:dyDescent="0.2">
      <c r="B28" s="370" t="s">
        <v>95</v>
      </c>
      <c r="C28" s="362"/>
      <c r="D28" s="362"/>
      <c r="E28" s="362"/>
      <c r="F28" s="371"/>
      <c r="G28" s="372"/>
      <c r="H28" s="38"/>
      <c r="I28" s="35"/>
      <c r="J28" s="38"/>
      <c r="K28" s="414"/>
      <c r="L28" s="415"/>
      <c r="M28" s="415"/>
      <c r="N28" s="415"/>
      <c r="O28" s="415"/>
      <c r="P28" s="415"/>
      <c r="Q28" s="74"/>
      <c r="R28" s="411"/>
      <c r="S28" s="411"/>
      <c r="T28" s="411"/>
      <c r="U28" s="411"/>
      <c r="V28" s="411"/>
      <c r="W28" s="411"/>
      <c r="X28" s="411"/>
      <c r="Y28" s="411"/>
      <c r="Z28" s="411"/>
      <c r="AA28" s="411"/>
      <c r="AB28" s="416"/>
      <c r="AC28" s="37"/>
      <c r="AD28" s="32"/>
    </row>
    <row r="29" spans="2:30" ht="13.5" customHeight="1" x14ac:dyDescent="0.2">
      <c r="B29" s="370"/>
      <c r="C29" s="362"/>
      <c r="D29" s="362"/>
      <c r="E29" s="362"/>
      <c r="F29" s="371"/>
      <c r="G29" s="372"/>
      <c r="H29" s="38"/>
      <c r="I29" s="35"/>
      <c r="J29" s="38"/>
      <c r="K29" s="414" t="s">
        <v>96</v>
      </c>
      <c r="L29" s="415"/>
      <c r="M29" s="415"/>
      <c r="N29" s="415"/>
      <c r="O29" s="415"/>
      <c r="P29" s="415"/>
      <c r="Q29" s="74"/>
      <c r="R29" s="411"/>
      <c r="S29" s="411"/>
      <c r="T29" s="411"/>
      <c r="U29" s="411"/>
      <c r="V29" s="411"/>
      <c r="W29" s="411"/>
      <c r="X29" s="411"/>
      <c r="Y29" s="411"/>
      <c r="Z29" s="411"/>
      <c r="AA29" s="411"/>
      <c r="AB29" s="416"/>
      <c r="AC29" s="37"/>
      <c r="AD29" s="32"/>
    </row>
    <row r="30" spans="2:30" x14ac:dyDescent="0.2">
      <c r="B30" s="361" t="s">
        <v>97</v>
      </c>
      <c r="C30" s="362"/>
      <c r="D30" s="362"/>
      <c r="E30" s="362"/>
      <c r="F30" s="362"/>
      <c r="G30" s="363"/>
      <c r="H30" s="38"/>
      <c r="I30" s="35"/>
      <c r="J30" s="38"/>
      <c r="K30" s="414"/>
      <c r="L30" s="415"/>
      <c r="M30" s="415"/>
      <c r="N30" s="415"/>
      <c r="O30" s="415"/>
      <c r="P30" s="415"/>
      <c r="Q30" s="74"/>
      <c r="R30" s="411"/>
      <c r="S30" s="411"/>
      <c r="T30" s="411"/>
      <c r="U30" s="411"/>
      <c r="V30" s="411"/>
      <c r="W30" s="411"/>
      <c r="X30" s="411"/>
      <c r="Y30" s="411"/>
      <c r="Z30" s="411"/>
      <c r="AA30" s="411"/>
      <c r="AB30" s="416"/>
      <c r="AC30" s="37"/>
      <c r="AD30" s="32"/>
    </row>
    <row r="31" spans="2:30" x14ac:dyDescent="0.2">
      <c r="B31" s="361"/>
      <c r="C31" s="362"/>
      <c r="D31" s="362"/>
      <c r="E31" s="362"/>
      <c r="F31" s="362"/>
      <c r="G31" s="363"/>
      <c r="H31" s="38"/>
      <c r="I31" s="35"/>
      <c r="J31" s="38"/>
      <c r="K31" s="414"/>
      <c r="L31" s="415"/>
      <c r="M31" s="415"/>
      <c r="N31" s="415"/>
      <c r="O31" s="415"/>
      <c r="P31" s="415"/>
      <c r="Q31" s="74"/>
      <c r="R31" s="411"/>
      <c r="S31" s="411"/>
      <c r="T31" s="411"/>
      <c r="U31" s="411"/>
      <c r="V31" s="411"/>
      <c r="W31" s="411"/>
      <c r="X31" s="411"/>
      <c r="Y31" s="411"/>
      <c r="Z31" s="411"/>
      <c r="AA31" s="411"/>
      <c r="AB31" s="416"/>
      <c r="AC31" s="37"/>
      <c r="AD31" s="32"/>
    </row>
    <row r="32" spans="2:30" x14ac:dyDescent="0.2">
      <c r="B32" s="361"/>
      <c r="C32" s="362"/>
      <c r="D32" s="362"/>
      <c r="E32" s="362"/>
      <c r="F32" s="362"/>
      <c r="G32" s="363"/>
      <c r="H32" s="38"/>
      <c r="I32" s="35"/>
      <c r="J32" s="38"/>
      <c r="K32" s="414"/>
      <c r="L32" s="415"/>
      <c r="M32" s="415"/>
      <c r="N32" s="415"/>
      <c r="O32" s="415"/>
      <c r="P32" s="415"/>
      <c r="Q32" s="74"/>
      <c r="R32" s="411"/>
      <c r="S32" s="411"/>
      <c r="T32" s="411"/>
      <c r="U32" s="411"/>
      <c r="V32" s="411"/>
      <c r="W32" s="411"/>
      <c r="X32" s="411"/>
      <c r="Y32" s="411"/>
      <c r="Z32" s="411"/>
      <c r="AA32" s="411"/>
      <c r="AB32" s="416"/>
      <c r="AC32" s="37"/>
      <c r="AD32" s="32"/>
    </row>
    <row r="33" spans="2:30" x14ac:dyDescent="0.2">
      <c r="B33" s="361"/>
      <c r="C33" s="362"/>
      <c r="D33" s="362"/>
      <c r="E33" s="362"/>
      <c r="F33" s="362"/>
      <c r="G33" s="363"/>
      <c r="H33" s="38"/>
      <c r="I33" s="35"/>
      <c r="J33" s="38"/>
      <c r="K33" s="414"/>
      <c r="L33" s="415"/>
      <c r="M33" s="415"/>
      <c r="N33" s="415"/>
      <c r="O33" s="415"/>
      <c r="P33" s="415"/>
      <c r="Q33" s="74"/>
      <c r="R33" s="411"/>
      <c r="S33" s="411"/>
      <c r="T33" s="411"/>
      <c r="U33" s="411"/>
      <c r="V33" s="411"/>
      <c r="W33" s="411"/>
      <c r="X33" s="411"/>
      <c r="Y33" s="411"/>
      <c r="Z33" s="411"/>
      <c r="AA33" s="411"/>
      <c r="AB33" s="416"/>
      <c r="AC33" s="37"/>
      <c r="AD33" s="32"/>
    </row>
    <row r="34" spans="2:30" x14ac:dyDescent="0.2">
      <c r="B34" s="56"/>
      <c r="C34" s="47"/>
      <c r="D34" s="47"/>
      <c r="E34" s="47"/>
      <c r="F34" s="47"/>
      <c r="G34" s="57"/>
      <c r="H34" s="38"/>
      <c r="I34" s="35"/>
      <c r="J34" s="38"/>
      <c r="K34" s="414"/>
      <c r="L34" s="415"/>
      <c r="M34" s="415"/>
      <c r="N34" s="415"/>
      <c r="O34" s="415"/>
      <c r="P34" s="415"/>
      <c r="Q34" s="74"/>
      <c r="R34" s="411"/>
      <c r="S34" s="411"/>
      <c r="T34" s="411"/>
      <c r="U34" s="411"/>
      <c r="V34" s="411"/>
      <c r="W34" s="411"/>
      <c r="X34" s="411"/>
      <c r="Y34" s="411"/>
      <c r="Z34" s="411"/>
      <c r="AA34" s="411"/>
      <c r="AB34" s="416"/>
      <c r="AC34" s="37"/>
      <c r="AD34" s="32"/>
    </row>
    <row r="35" spans="2:30" x14ac:dyDescent="0.2">
      <c r="B35" s="58" t="s">
        <v>98</v>
      </c>
      <c r="C35" s="48"/>
      <c r="D35" s="421"/>
      <c r="E35" s="422"/>
      <c r="F35" s="422"/>
      <c r="G35" s="423"/>
      <c r="H35" s="38"/>
      <c r="I35" s="35"/>
      <c r="J35" s="38"/>
      <c r="K35" s="414"/>
      <c r="L35" s="415"/>
      <c r="M35" s="415"/>
      <c r="N35" s="415"/>
      <c r="O35" s="415"/>
      <c r="P35" s="415"/>
      <c r="Q35" s="74"/>
      <c r="R35" s="411"/>
      <c r="S35" s="411"/>
      <c r="T35" s="411"/>
      <c r="U35" s="411"/>
      <c r="V35" s="411"/>
      <c r="W35" s="411"/>
      <c r="X35" s="411"/>
      <c r="Y35" s="411"/>
      <c r="Z35" s="411"/>
      <c r="AA35" s="411"/>
      <c r="AB35" s="416"/>
      <c r="AC35" s="37"/>
      <c r="AD35" s="32"/>
    </row>
    <row r="36" spans="2:30" x14ac:dyDescent="0.2">
      <c r="B36" s="370" t="s">
        <v>9</v>
      </c>
      <c r="C36" s="49"/>
      <c r="D36" s="424"/>
      <c r="E36" s="425"/>
      <c r="F36" s="425"/>
      <c r="G36" s="426"/>
      <c r="H36" s="38"/>
      <c r="I36" s="35"/>
      <c r="J36" s="38"/>
      <c r="K36" s="406" t="s">
        <v>99</v>
      </c>
      <c r="L36" s="407"/>
      <c r="M36" s="407"/>
      <c r="N36" s="407"/>
      <c r="O36" s="407"/>
      <c r="P36" s="407"/>
      <c r="Q36" s="74"/>
      <c r="R36" s="74"/>
      <c r="S36" s="74"/>
      <c r="T36" s="74"/>
      <c r="U36" s="74"/>
      <c r="V36" s="75"/>
      <c r="W36" s="75"/>
      <c r="X36" s="75"/>
      <c r="Y36" s="366"/>
      <c r="Z36" s="366"/>
      <c r="AA36" s="366"/>
      <c r="AB36" s="367"/>
      <c r="AC36" s="37"/>
      <c r="AD36" s="32"/>
    </row>
    <row r="37" spans="2:30" x14ac:dyDescent="0.2">
      <c r="B37" s="430"/>
      <c r="C37" s="51" t="s">
        <v>100</v>
      </c>
      <c r="D37" s="373"/>
      <c r="E37" s="374"/>
      <c r="F37" s="374"/>
      <c r="G37" s="375"/>
      <c r="H37" s="38"/>
      <c r="I37" s="35"/>
      <c r="J37" s="38"/>
      <c r="K37" s="406"/>
      <c r="L37" s="407"/>
      <c r="M37" s="407"/>
      <c r="N37" s="407"/>
      <c r="O37" s="407"/>
      <c r="P37" s="407"/>
      <c r="Q37" s="74"/>
      <c r="R37" s="74"/>
      <c r="S37" s="74"/>
      <c r="T37" s="74"/>
      <c r="U37" s="74"/>
      <c r="V37" s="75"/>
      <c r="W37" s="75"/>
      <c r="X37" s="75"/>
      <c r="Y37" s="368"/>
      <c r="Z37" s="368"/>
      <c r="AA37" s="368"/>
      <c r="AB37" s="369"/>
      <c r="AC37" s="37"/>
      <c r="AD37" s="32"/>
    </row>
    <row r="38" spans="2:30" ht="12.75" customHeight="1" x14ac:dyDescent="0.2">
      <c r="B38" s="430"/>
      <c r="C38" s="51"/>
      <c r="D38" s="376"/>
      <c r="E38" s="377"/>
      <c r="F38" s="377"/>
      <c r="G38" s="378"/>
      <c r="H38" s="38"/>
      <c r="I38" s="35"/>
      <c r="J38" s="38"/>
      <c r="K38" s="408" t="s">
        <v>101</v>
      </c>
      <c r="L38" s="409"/>
      <c r="M38" s="409"/>
      <c r="N38" s="409"/>
      <c r="O38" s="409"/>
      <c r="P38" s="409"/>
      <c r="Q38" s="74"/>
      <c r="R38" s="409" t="s">
        <v>102</v>
      </c>
      <c r="S38" s="409"/>
      <c r="T38" s="409"/>
      <c r="U38" s="409"/>
      <c r="V38" s="409"/>
      <c r="W38" s="409"/>
      <c r="X38" s="75"/>
      <c r="Y38" s="379" t="s">
        <v>103</v>
      </c>
      <c r="Z38" s="379"/>
      <c r="AA38" s="379"/>
      <c r="AB38" s="380"/>
      <c r="AC38" s="37"/>
      <c r="AD38" s="32"/>
    </row>
    <row r="39" spans="2:30" x14ac:dyDescent="0.2">
      <c r="B39" s="430"/>
      <c r="C39" s="51" t="s">
        <v>104</v>
      </c>
      <c r="D39" s="373"/>
      <c r="E39" s="374"/>
      <c r="F39" s="374"/>
      <c r="G39" s="375"/>
      <c r="H39" s="38"/>
      <c r="I39" s="35"/>
      <c r="J39" s="38"/>
      <c r="K39" s="408"/>
      <c r="L39" s="409"/>
      <c r="M39" s="409"/>
      <c r="N39" s="409"/>
      <c r="O39" s="409"/>
      <c r="P39" s="409"/>
      <c r="Q39" s="74"/>
      <c r="R39" s="409"/>
      <c r="S39" s="409"/>
      <c r="T39" s="409"/>
      <c r="U39" s="409"/>
      <c r="V39" s="409"/>
      <c r="W39" s="409"/>
      <c r="X39" s="75"/>
      <c r="Y39" s="379"/>
      <c r="Z39" s="379"/>
      <c r="AA39" s="379"/>
      <c r="AB39" s="380"/>
      <c r="AC39" s="37"/>
      <c r="AD39" s="32"/>
    </row>
    <row r="40" spans="2:30" x14ac:dyDescent="0.2">
      <c r="B40" s="430"/>
      <c r="C40" s="51"/>
      <c r="D40" s="376"/>
      <c r="E40" s="377"/>
      <c r="F40" s="377"/>
      <c r="G40" s="378"/>
      <c r="H40" s="38"/>
      <c r="I40" s="35"/>
      <c r="J40" s="38"/>
      <c r="K40" s="408"/>
      <c r="L40" s="409"/>
      <c r="M40" s="409"/>
      <c r="N40" s="409"/>
      <c r="O40" s="409"/>
      <c r="P40" s="409"/>
      <c r="Q40" s="74"/>
      <c r="R40" s="409"/>
      <c r="S40" s="409"/>
      <c r="T40" s="409"/>
      <c r="U40" s="409"/>
      <c r="V40" s="409"/>
      <c r="W40" s="409"/>
      <c r="X40" s="75"/>
      <c r="Y40" s="381"/>
      <c r="Z40" s="381"/>
      <c r="AA40" s="381"/>
      <c r="AB40" s="382"/>
      <c r="AC40" s="37"/>
      <c r="AD40" s="32"/>
    </row>
    <row r="41" spans="2:30" x14ac:dyDescent="0.2">
      <c r="B41" s="430"/>
      <c r="C41" s="51" t="s">
        <v>105</v>
      </c>
      <c r="D41" s="373"/>
      <c r="E41" s="374"/>
      <c r="F41" s="374"/>
      <c r="G41" s="375"/>
      <c r="H41" s="38"/>
      <c r="I41" s="35"/>
      <c r="J41" s="38"/>
      <c r="K41" s="408"/>
      <c r="L41" s="409"/>
      <c r="M41" s="409"/>
      <c r="N41" s="409"/>
      <c r="O41" s="409"/>
      <c r="P41" s="409"/>
      <c r="Q41" s="74"/>
      <c r="R41" s="409"/>
      <c r="S41" s="409"/>
      <c r="T41" s="409"/>
      <c r="U41" s="409"/>
      <c r="V41" s="409"/>
      <c r="W41" s="409"/>
      <c r="X41" s="75"/>
      <c r="Y41" s="381"/>
      <c r="Z41" s="381"/>
      <c r="AA41" s="381"/>
      <c r="AB41" s="382"/>
      <c r="AC41" s="37"/>
      <c r="AD41" s="32"/>
    </row>
    <row r="42" spans="2:30" x14ac:dyDescent="0.2">
      <c r="B42" s="431"/>
      <c r="C42" s="50"/>
      <c r="D42" s="376"/>
      <c r="E42" s="377"/>
      <c r="F42" s="377"/>
      <c r="G42" s="378"/>
      <c r="H42" s="38"/>
      <c r="I42" s="35"/>
      <c r="J42" s="38"/>
      <c r="K42" s="410"/>
      <c r="L42" s="411"/>
      <c r="M42" s="411"/>
      <c r="N42" s="411"/>
      <c r="O42" s="411"/>
      <c r="P42" s="411"/>
      <c r="Q42" s="74"/>
      <c r="R42" s="411"/>
      <c r="S42" s="411"/>
      <c r="T42" s="411"/>
      <c r="U42" s="411"/>
      <c r="V42" s="411"/>
      <c r="W42" s="411"/>
      <c r="X42" s="75"/>
      <c r="Y42" s="381"/>
      <c r="Z42" s="381"/>
      <c r="AA42" s="381"/>
      <c r="AB42" s="382"/>
      <c r="AC42" s="37"/>
      <c r="AD42" s="32"/>
    </row>
    <row r="43" spans="2:30" ht="12.75" customHeight="1" x14ac:dyDescent="0.2">
      <c r="B43" s="358" t="s">
        <v>106</v>
      </c>
      <c r="C43" s="48"/>
      <c r="D43" s="421"/>
      <c r="E43" s="422"/>
      <c r="F43" s="422"/>
      <c r="G43" s="423"/>
      <c r="H43" s="38"/>
      <c r="I43" s="35"/>
      <c r="J43" s="38"/>
      <c r="K43" s="410"/>
      <c r="L43" s="411"/>
      <c r="M43" s="411"/>
      <c r="N43" s="411"/>
      <c r="O43" s="411"/>
      <c r="P43" s="411"/>
      <c r="Q43" s="74"/>
      <c r="R43" s="411"/>
      <c r="S43" s="411"/>
      <c r="T43" s="411"/>
      <c r="U43" s="411"/>
      <c r="V43" s="411"/>
      <c r="W43" s="411"/>
      <c r="X43" s="75"/>
      <c r="Y43" s="381"/>
      <c r="Z43" s="381"/>
      <c r="AA43" s="381"/>
      <c r="AB43" s="382"/>
      <c r="AC43" s="37"/>
      <c r="AD43" s="32"/>
    </row>
    <row r="44" spans="2:30" x14ac:dyDescent="0.2">
      <c r="B44" s="359"/>
      <c r="C44" s="49"/>
      <c r="D44" s="424"/>
      <c r="E44" s="425"/>
      <c r="F44" s="425"/>
      <c r="G44" s="426"/>
      <c r="H44" s="38"/>
      <c r="I44" s="35"/>
      <c r="J44" s="38"/>
      <c r="K44" s="410"/>
      <c r="L44" s="411"/>
      <c r="M44" s="411"/>
      <c r="N44" s="411"/>
      <c r="O44" s="411"/>
      <c r="P44" s="411"/>
      <c r="Q44" s="74"/>
      <c r="R44" s="411"/>
      <c r="S44" s="411"/>
      <c r="T44" s="411"/>
      <c r="U44" s="411"/>
      <c r="V44" s="411"/>
      <c r="W44" s="411"/>
      <c r="X44" s="75"/>
      <c r="Y44" s="381"/>
      <c r="Z44" s="381"/>
      <c r="AA44" s="381"/>
      <c r="AB44" s="382"/>
      <c r="AC44" s="37"/>
      <c r="AD44" s="32"/>
    </row>
    <row r="45" spans="2:30" x14ac:dyDescent="0.2">
      <c r="B45" s="359"/>
      <c r="C45" s="51" t="s">
        <v>100</v>
      </c>
      <c r="D45" s="373"/>
      <c r="E45" s="374"/>
      <c r="F45" s="374"/>
      <c r="G45" s="375"/>
      <c r="H45" s="38"/>
      <c r="I45" s="35"/>
      <c r="J45" s="38"/>
      <c r="K45" s="410"/>
      <c r="L45" s="411"/>
      <c r="M45" s="411"/>
      <c r="N45" s="411"/>
      <c r="O45" s="411"/>
      <c r="P45" s="411"/>
      <c r="Q45" s="74"/>
      <c r="R45" s="411"/>
      <c r="S45" s="411"/>
      <c r="T45" s="411"/>
      <c r="U45" s="411"/>
      <c r="V45" s="411"/>
      <c r="W45" s="411"/>
      <c r="X45" s="75"/>
      <c r="Y45" s="381"/>
      <c r="Z45" s="381"/>
      <c r="AA45" s="381"/>
      <c r="AB45" s="382"/>
      <c r="AC45" s="37"/>
      <c r="AD45" s="32"/>
    </row>
    <row r="46" spans="2:30" x14ac:dyDescent="0.2">
      <c r="B46" s="359"/>
      <c r="C46" s="51"/>
      <c r="D46" s="376"/>
      <c r="E46" s="377"/>
      <c r="F46" s="377"/>
      <c r="G46" s="378"/>
      <c r="H46" s="38"/>
      <c r="I46" s="35"/>
      <c r="J46" s="38"/>
      <c r="K46" s="410"/>
      <c r="L46" s="411"/>
      <c r="M46" s="411"/>
      <c r="N46" s="411"/>
      <c r="O46" s="411"/>
      <c r="P46" s="411"/>
      <c r="Q46" s="74"/>
      <c r="R46" s="411"/>
      <c r="S46" s="411"/>
      <c r="T46" s="411"/>
      <c r="U46" s="411"/>
      <c r="V46" s="411"/>
      <c r="W46" s="411"/>
      <c r="X46" s="75"/>
      <c r="Y46" s="381"/>
      <c r="Z46" s="381"/>
      <c r="AA46" s="381"/>
      <c r="AB46" s="382"/>
      <c r="AC46" s="37"/>
      <c r="AD46" s="32"/>
    </row>
    <row r="47" spans="2:30" x14ac:dyDescent="0.2">
      <c r="B47" s="359"/>
      <c r="C47" s="51" t="s">
        <v>104</v>
      </c>
      <c r="D47" s="373"/>
      <c r="E47" s="374"/>
      <c r="F47" s="374"/>
      <c r="G47" s="375"/>
      <c r="H47" s="38"/>
      <c r="I47" s="35"/>
      <c r="J47" s="38"/>
      <c r="K47" s="410"/>
      <c r="L47" s="411"/>
      <c r="M47" s="411"/>
      <c r="N47" s="411"/>
      <c r="O47" s="411"/>
      <c r="P47" s="411"/>
      <c r="Q47" s="74"/>
      <c r="R47" s="411"/>
      <c r="S47" s="411"/>
      <c r="T47" s="411"/>
      <c r="U47" s="411"/>
      <c r="V47" s="411"/>
      <c r="W47" s="411"/>
      <c r="X47" s="75"/>
      <c r="Y47" s="381"/>
      <c r="Z47" s="381"/>
      <c r="AA47" s="381"/>
      <c r="AB47" s="382"/>
      <c r="AC47" s="37"/>
      <c r="AD47" s="32"/>
    </row>
    <row r="48" spans="2:30" x14ac:dyDescent="0.2">
      <c r="B48" s="359"/>
      <c r="C48" s="51"/>
      <c r="D48" s="376"/>
      <c r="E48" s="377"/>
      <c r="F48" s="377"/>
      <c r="G48" s="378"/>
      <c r="H48" s="38"/>
      <c r="I48" s="35"/>
      <c r="J48" s="38"/>
      <c r="K48" s="410"/>
      <c r="L48" s="411"/>
      <c r="M48" s="411"/>
      <c r="N48" s="411"/>
      <c r="O48" s="411"/>
      <c r="P48" s="411"/>
      <c r="Q48" s="74"/>
      <c r="R48" s="411"/>
      <c r="S48" s="411"/>
      <c r="T48" s="411"/>
      <c r="U48" s="411"/>
      <c r="V48" s="411"/>
      <c r="W48" s="411"/>
      <c r="X48" s="75"/>
      <c r="Y48" s="381"/>
      <c r="Z48" s="381"/>
      <c r="AA48" s="381"/>
      <c r="AB48" s="382"/>
      <c r="AC48" s="37"/>
      <c r="AD48" s="32"/>
    </row>
    <row r="49" spans="1:46" x14ac:dyDescent="0.2">
      <c r="B49" s="359"/>
      <c r="C49" s="51" t="s">
        <v>105</v>
      </c>
      <c r="D49" s="373"/>
      <c r="E49" s="374"/>
      <c r="F49" s="374"/>
      <c r="G49" s="375"/>
      <c r="H49" s="38"/>
      <c r="I49" s="35"/>
      <c r="J49" s="38"/>
      <c r="K49" s="410"/>
      <c r="L49" s="411"/>
      <c r="M49" s="411"/>
      <c r="N49" s="411"/>
      <c r="O49" s="411"/>
      <c r="P49" s="411"/>
      <c r="Q49" s="74"/>
      <c r="R49" s="411"/>
      <c r="S49" s="411"/>
      <c r="T49" s="411"/>
      <c r="U49" s="411"/>
      <c r="V49" s="411"/>
      <c r="W49" s="411"/>
      <c r="X49" s="75"/>
      <c r="Y49" s="381"/>
      <c r="Z49" s="381"/>
      <c r="AA49" s="381"/>
      <c r="AB49" s="382"/>
      <c r="AC49" s="37"/>
      <c r="AD49" s="32"/>
    </row>
    <row r="50" spans="1:46" s="32" customFormat="1" ht="13.5" thickBot="1" x14ac:dyDescent="0.25">
      <c r="A50" s="37"/>
      <c r="B50" s="360"/>
      <c r="C50" s="59"/>
      <c r="D50" s="427"/>
      <c r="E50" s="428"/>
      <c r="F50" s="428"/>
      <c r="G50" s="429"/>
      <c r="H50" s="38"/>
      <c r="I50" s="35"/>
      <c r="J50" s="38"/>
      <c r="K50" s="410"/>
      <c r="L50" s="411"/>
      <c r="M50" s="411"/>
      <c r="N50" s="411"/>
      <c r="O50" s="411"/>
      <c r="P50" s="411"/>
      <c r="Q50" s="74"/>
      <c r="R50" s="411"/>
      <c r="S50" s="411"/>
      <c r="T50" s="411"/>
      <c r="U50" s="411"/>
      <c r="V50" s="411"/>
      <c r="W50" s="411"/>
      <c r="X50" s="75"/>
      <c r="Y50" s="381"/>
      <c r="Z50" s="381"/>
      <c r="AA50" s="381"/>
      <c r="AB50" s="382"/>
      <c r="AC50" s="37"/>
      <c r="AE50" s="65"/>
      <c r="AF50" s="65"/>
      <c r="AG50" s="65"/>
      <c r="AH50" s="65"/>
      <c r="AI50" s="65"/>
      <c r="AJ50" s="65"/>
      <c r="AK50" s="65"/>
      <c r="AL50" s="65"/>
      <c r="AM50" s="65"/>
      <c r="AN50" s="65"/>
      <c r="AO50" s="65"/>
      <c r="AP50" s="65"/>
      <c r="AQ50" s="65"/>
      <c r="AR50" s="65"/>
      <c r="AS50" s="65"/>
      <c r="AT50" s="65"/>
    </row>
    <row r="51" spans="1:46" s="32" customFormat="1" ht="13.5" thickBot="1" x14ac:dyDescent="0.25">
      <c r="A51" s="37"/>
      <c r="B51" s="60"/>
      <c r="C51" s="60"/>
      <c r="D51" s="61"/>
      <c r="E51" s="61"/>
      <c r="F51" s="61"/>
      <c r="G51" s="61"/>
      <c r="H51" s="38"/>
      <c r="I51" s="35"/>
      <c r="J51" s="38"/>
      <c r="K51" s="412"/>
      <c r="L51" s="413"/>
      <c r="M51" s="413"/>
      <c r="N51" s="413"/>
      <c r="O51" s="413"/>
      <c r="P51" s="413"/>
      <c r="Q51" s="76"/>
      <c r="R51" s="413"/>
      <c r="S51" s="413"/>
      <c r="T51" s="413"/>
      <c r="U51" s="413"/>
      <c r="V51" s="413"/>
      <c r="W51" s="413"/>
      <c r="X51" s="77"/>
      <c r="Y51" s="383"/>
      <c r="Z51" s="383"/>
      <c r="AA51" s="383"/>
      <c r="AB51" s="384"/>
      <c r="AC51" s="37"/>
      <c r="AE51" s="65"/>
      <c r="AF51" s="65"/>
      <c r="AG51" s="65"/>
      <c r="AH51" s="65"/>
      <c r="AI51" s="65"/>
      <c r="AJ51" s="65"/>
      <c r="AK51" s="65"/>
      <c r="AL51" s="65"/>
      <c r="AM51" s="65"/>
      <c r="AN51" s="65"/>
      <c r="AO51" s="65"/>
      <c r="AP51" s="65"/>
      <c r="AQ51" s="65"/>
      <c r="AR51" s="65"/>
      <c r="AS51" s="65"/>
      <c r="AT51" s="65"/>
    </row>
    <row r="52" spans="1:46" s="32" customFormat="1" x14ac:dyDescent="0.2">
      <c r="A52" s="37"/>
      <c r="B52" s="60"/>
      <c r="C52" s="60"/>
      <c r="D52" s="61"/>
      <c r="E52" s="61"/>
      <c r="F52" s="61"/>
      <c r="G52" s="61"/>
      <c r="H52" s="38"/>
      <c r="I52" s="35"/>
      <c r="J52" s="61"/>
      <c r="K52" s="62"/>
      <c r="L52" s="62"/>
      <c r="M52" s="62"/>
      <c r="N52" s="62"/>
      <c r="O52" s="62"/>
      <c r="P52" s="62"/>
      <c r="Q52" s="62"/>
      <c r="R52" s="62"/>
      <c r="S52" s="62"/>
      <c r="T52" s="62"/>
      <c r="U52" s="62"/>
      <c r="V52" s="63"/>
      <c r="W52" s="63"/>
      <c r="X52" s="63"/>
      <c r="Y52" s="63"/>
      <c r="Z52" s="63"/>
      <c r="AA52" s="63"/>
      <c r="AB52" s="64"/>
      <c r="AC52" s="64"/>
      <c r="AE52" s="65"/>
      <c r="AF52" s="65"/>
      <c r="AG52" s="65"/>
      <c r="AH52" s="65"/>
      <c r="AI52" s="65"/>
      <c r="AJ52" s="65"/>
      <c r="AK52" s="65"/>
      <c r="AL52" s="65"/>
      <c r="AM52" s="65"/>
      <c r="AN52" s="65"/>
      <c r="AO52" s="65"/>
      <c r="AP52" s="65"/>
      <c r="AQ52" s="65"/>
      <c r="AR52" s="65"/>
      <c r="AS52" s="65"/>
      <c r="AT52" s="65"/>
    </row>
    <row r="53" spans="1:46" s="32" customFormat="1" x14ac:dyDescent="0.2">
      <c r="A53" s="37"/>
      <c r="B53" s="60"/>
      <c r="C53" s="60"/>
      <c r="D53" s="61"/>
      <c r="E53" s="61"/>
      <c r="F53" s="61"/>
      <c r="G53" s="61"/>
      <c r="H53" s="38"/>
      <c r="I53" s="35"/>
      <c r="J53" s="61"/>
      <c r="K53" s="62"/>
      <c r="L53" s="62"/>
      <c r="M53" s="62"/>
      <c r="N53" s="62"/>
      <c r="O53" s="62"/>
      <c r="P53" s="62"/>
      <c r="Q53" s="62"/>
      <c r="R53" s="62"/>
      <c r="S53" s="62"/>
      <c r="T53" s="62"/>
      <c r="U53" s="62"/>
      <c r="V53" s="63"/>
      <c r="W53" s="63"/>
      <c r="X53" s="63"/>
      <c r="Y53" s="63"/>
      <c r="Z53" s="63"/>
      <c r="AA53" s="63"/>
      <c r="AB53" s="64"/>
      <c r="AC53" s="64"/>
      <c r="AE53" s="65"/>
      <c r="AF53" s="65"/>
      <c r="AG53" s="65"/>
      <c r="AH53" s="65"/>
      <c r="AI53" s="65"/>
      <c r="AJ53" s="65"/>
      <c r="AK53" s="65"/>
      <c r="AL53" s="65"/>
      <c r="AM53" s="65"/>
      <c r="AN53" s="65"/>
      <c r="AO53" s="65"/>
      <c r="AP53" s="65"/>
      <c r="AQ53" s="65"/>
      <c r="AR53" s="65"/>
      <c r="AS53" s="65"/>
      <c r="AT53" s="65"/>
    </row>
    <row r="54" spans="1:46" s="32" customFormat="1" x14ac:dyDescent="0.2">
      <c r="A54" s="37"/>
      <c r="B54" s="60"/>
      <c r="C54" s="60"/>
      <c r="D54" s="61"/>
      <c r="E54" s="61"/>
      <c r="F54" s="61"/>
      <c r="G54" s="61"/>
      <c r="H54" s="38"/>
      <c r="I54" s="35"/>
      <c r="J54" s="61"/>
      <c r="K54" s="62"/>
      <c r="L54" s="62"/>
      <c r="M54" s="62"/>
      <c r="N54" s="62"/>
      <c r="O54" s="62"/>
      <c r="P54" s="62"/>
      <c r="Q54" s="62"/>
      <c r="R54" s="62"/>
      <c r="S54" s="62"/>
      <c r="T54" s="62"/>
      <c r="U54" s="62"/>
      <c r="V54" s="63"/>
      <c r="W54" s="63"/>
      <c r="X54" s="63"/>
      <c r="Y54" s="63"/>
      <c r="Z54" s="63"/>
      <c r="AA54" s="63"/>
      <c r="AB54" s="64"/>
      <c r="AC54" s="64"/>
      <c r="AE54" s="65"/>
      <c r="AF54" s="65"/>
      <c r="AG54" s="65"/>
      <c r="AH54" s="65"/>
      <c r="AI54" s="65"/>
      <c r="AJ54" s="65"/>
      <c r="AK54" s="65"/>
      <c r="AL54" s="65"/>
      <c r="AM54" s="65"/>
      <c r="AN54" s="65"/>
      <c r="AO54" s="65"/>
      <c r="AP54" s="65"/>
      <c r="AQ54" s="65"/>
      <c r="AR54" s="65"/>
      <c r="AS54" s="65"/>
      <c r="AT54" s="65"/>
    </row>
    <row r="55" spans="1:46" s="32" customFormat="1" x14ac:dyDescent="0.2">
      <c r="A55" s="37"/>
      <c r="B55" s="60"/>
      <c r="C55" s="60"/>
      <c r="D55" s="61"/>
      <c r="E55" s="61"/>
      <c r="F55" s="61"/>
      <c r="G55" s="61"/>
      <c r="H55" s="38"/>
      <c r="I55" s="35"/>
      <c r="J55" s="61"/>
      <c r="K55" s="62"/>
      <c r="L55" s="62"/>
      <c r="M55" s="62"/>
      <c r="N55" s="62"/>
      <c r="O55" s="62"/>
      <c r="P55" s="62"/>
      <c r="Q55" s="62"/>
      <c r="R55" s="62"/>
      <c r="S55" s="62"/>
      <c r="T55" s="62"/>
      <c r="U55" s="62"/>
      <c r="V55" s="63"/>
      <c r="W55" s="63"/>
      <c r="X55" s="63"/>
      <c r="Y55" s="63"/>
      <c r="Z55" s="63"/>
      <c r="AA55" s="63"/>
      <c r="AB55" s="64"/>
      <c r="AC55" s="64"/>
      <c r="AE55" s="65"/>
      <c r="AF55" s="65"/>
      <c r="AG55" s="65"/>
      <c r="AH55" s="65"/>
      <c r="AI55" s="65"/>
      <c r="AJ55" s="65"/>
      <c r="AK55" s="65"/>
      <c r="AL55" s="65"/>
      <c r="AM55" s="65"/>
      <c r="AN55" s="65"/>
      <c r="AO55" s="65"/>
      <c r="AP55" s="65"/>
      <c r="AQ55" s="65"/>
      <c r="AR55" s="65"/>
      <c r="AS55" s="65"/>
      <c r="AT55" s="65"/>
    </row>
    <row r="56" spans="1:46" s="32" customFormat="1" x14ac:dyDescent="0.2">
      <c r="A56" s="37"/>
      <c r="B56" s="60"/>
      <c r="C56" s="60"/>
      <c r="D56" s="61"/>
      <c r="E56" s="61"/>
      <c r="F56" s="61"/>
      <c r="G56" s="61"/>
      <c r="H56" s="38"/>
      <c r="I56" s="35"/>
      <c r="J56" s="61"/>
      <c r="K56" s="62"/>
      <c r="L56" s="62"/>
      <c r="M56" s="62"/>
      <c r="N56" s="62"/>
      <c r="O56" s="62"/>
      <c r="P56" s="62"/>
      <c r="Q56" s="62"/>
      <c r="R56" s="62"/>
      <c r="S56" s="62"/>
      <c r="T56" s="62"/>
      <c r="U56" s="62"/>
      <c r="V56" s="63"/>
      <c r="W56" s="63"/>
      <c r="X56" s="63"/>
      <c r="Y56" s="63"/>
      <c r="Z56" s="63"/>
      <c r="AA56" s="63"/>
      <c r="AB56" s="64"/>
      <c r="AC56" s="64"/>
      <c r="AE56" s="65"/>
      <c r="AF56" s="65"/>
      <c r="AG56" s="65"/>
      <c r="AH56" s="65"/>
      <c r="AI56" s="65"/>
      <c r="AJ56" s="65"/>
      <c r="AK56" s="65"/>
      <c r="AL56" s="65"/>
      <c r="AM56" s="65"/>
      <c r="AN56" s="65"/>
      <c r="AO56" s="65"/>
      <c r="AP56" s="65"/>
      <c r="AQ56" s="65"/>
      <c r="AR56" s="65"/>
      <c r="AS56" s="65"/>
      <c r="AT56" s="65"/>
    </row>
    <row r="57" spans="1:46" s="32" customFormat="1" x14ac:dyDescent="0.2">
      <c r="B57" s="44"/>
      <c r="C57" s="44"/>
      <c r="D57" s="35"/>
      <c r="E57" s="35"/>
      <c r="F57" s="35"/>
      <c r="G57" s="35"/>
      <c r="H57" s="35"/>
      <c r="I57" s="35"/>
      <c r="J57" s="35"/>
      <c r="K57" s="39"/>
      <c r="L57" s="39"/>
      <c r="M57" s="39"/>
      <c r="N57" s="39"/>
      <c r="O57" s="39"/>
      <c r="P57" s="39"/>
      <c r="Q57" s="39"/>
      <c r="R57" s="39"/>
      <c r="S57" s="39"/>
      <c r="T57" s="39"/>
      <c r="U57" s="39"/>
      <c r="V57" s="40"/>
      <c r="W57" s="40"/>
      <c r="X57" s="40"/>
      <c r="Y57" s="40"/>
      <c r="Z57" s="40"/>
      <c r="AA57" s="40"/>
      <c r="AE57" s="65"/>
      <c r="AF57" s="65"/>
      <c r="AG57" s="65"/>
      <c r="AH57" s="65"/>
      <c r="AI57" s="65"/>
      <c r="AJ57" s="65"/>
      <c r="AK57" s="65"/>
      <c r="AL57" s="65"/>
      <c r="AM57" s="65"/>
      <c r="AN57" s="65"/>
      <c r="AO57" s="65"/>
      <c r="AP57" s="65"/>
      <c r="AQ57" s="65"/>
      <c r="AR57" s="65"/>
      <c r="AS57" s="65"/>
      <c r="AT57" s="65"/>
    </row>
    <row r="58" spans="1:46" s="32" customFormat="1" x14ac:dyDescent="0.2">
      <c r="B58" s="44"/>
      <c r="C58" s="44"/>
      <c r="D58" s="35"/>
      <c r="E58" s="35"/>
      <c r="F58" s="35"/>
      <c r="G58" s="35"/>
      <c r="H58" s="35"/>
      <c r="I58" s="35"/>
      <c r="J58" s="35"/>
      <c r="K58" s="39"/>
      <c r="L58" s="39"/>
      <c r="M58" s="39"/>
      <c r="N58" s="39"/>
      <c r="O58" s="39"/>
      <c r="P58" s="39"/>
      <c r="Q58" s="39"/>
      <c r="R58" s="39"/>
      <c r="S58" s="39"/>
      <c r="T58" s="39"/>
      <c r="U58" s="39"/>
      <c r="V58" s="40"/>
      <c r="W58" s="40"/>
      <c r="X58" s="40"/>
      <c r="Y58" s="40"/>
      <c r="Z58" s="40"/>
      <c r="AA58" s="40"/>
      <c r="AE58" s="65"/>
      <c r="AF58" s="65"/>
      <c r="AG58" s="65"/>
      <c r="AH58" s="65"/>
      <c r="AI58" s="65"/>
      <c r="AJ58" s="65"/>
      <c r="AK58" s="65"/>
      <c r="AL58" s="65"/>
      <c r="AM58" s="65"/>
      <c r="AN58" s="65"/>
      <c r="AO58" s="65"/>
      <c r="AP58" s="65"/>
      <c r="AQ58" s="65"/>
      <c r="AR58" s="65"/>
      <c r="AS58" s="65"/>
      <c r="AT58" s="65"/>
    </row>
    <row r="59" spans="1:46" s="32" customFormat="1" x14ac:dyDescent="0.2">
      <c r="B59" s="44"/>
      <c r="C59" s="44"/>
      <c r="D59" s="35"/>
      <c r="E59" s="35"/>
      <c r="F59" s="35"/>
      <c r="G59" s="35"/>
      <c r="H59" s="35"/>
      <c r="I59" s="35"/>
      <c r="J59" s="35"/>
      <c r="K59" s="39"/>
      <c r="L59" s="39"/>
      <c r="M59" s="39"/>
      <c r="N59" s="39"/>
      <c r="O59" s="39"/>
      <c r="P59" s="39"/>
      <c r="Q59" s="39"/>
      <c r="R59" s="39"/>
      <c r="S59" s="39"/>
      <c r="T59" s="39"/>
      <c r="U59" s="39"/>
      <c r="V59" s="40"/>
      <c r="W59" s="40"/>
      <c r="X59" s="40"/>
      <c r="Y59" s="40"/>
      <c r="Z59" s="40"/>
      <c r="AA59" s="40"/>
      <c r="AE59" s="65"/>
      <c r="AF59" s="65"/>
      <c r="AG59" s="65"/>
      <c r="AH59" s="65"/>
      <c r="AI59" s="65"/>
      <c r="AJ59" s="65"/>
      <c r="AK59" s="65"/>
      <c r="AL59" s="65"/>
      <c r="AM59" s="65"/>
      <c r="AN59" s="65"/>
      <c r="AO59" s="65"/>
      <c r="AP59" s="65"/>
      <c r="AQ59" s="65"/>
      <c r="AR59" s="65"/>
      <c r="AS59" s="65"/>
      <c r="AT59" s="65"/>
    </row>
    <row r="60" spans="1:46" s="32" customFormat="1" x14ac:dyDescent="0.2">
      <c r="B60" s="44"/>
      <c r="C60" s="44"/>
      <c r="D60" s="35"/>
      <c r="E60" s="35"/>
      <c r="F60" s="35"/>
      <c r="G60" s="35"/>
      <c r="H60" s="35"/>
      <c r="I60" s="35"/>
      <c r="J60" s="35"/>
      <c r="K60" s="39"/>
      <c r="L60" s="39"/>
      <c r="M60" s="39"/>
      <c r="N60" s="39"/>
      <c r="O60" s="39"/>
      <c r="P60" s="39"/>
      <c r="Q60" s="39"/>
      <c r="R60" s="39"/>
      <c r="S60" s="39"/>
      <c r="T60" s="39"/>
      <c r="U60" s="39"/>
      <c r="V60" s="40"/>
      <c r="W60" s="40"/>
      <c r="X60" s="40"/>
      <c r="Y60" s="40"/>
      <c r="Z60" s="40"/>
      <c r="AA60" s="40"/>
      <c r="AE60" s="65"/>
      <c r="AF60" s="65"/>
      <c r="AG60" s="65"/>
      <c r="AH60" s="65"/>
      <c r="AI60" s="65"/>
      <c r="AJ60" s="65"/>
      <c r="AK60" s="65"/>
      <c r="AL60" s="65"/>
      <c r="AM60" s="65"/>
      <c r="AN60" s="65"/>
      <c r="AO60" s="65"/>
      <c r="AP60" s="65"/>
      <c r="AQ60" s="65"/>
      <c r="AR60" s="65"/>
      <c r="AS60" s="65"/>
      <c r="AT60" s="65"/>
    </row>
    <row r="61" spans="1:46" s="32" customFormat="1" x14ac:dyDescent="0.2">
      <c r="B61" s="44"/>
      <c r="C61" s="44"/>
      <c r="D61" s="35"/>
      <c r="E61" s="35"/>
      <c r="F61" s="35"/>
      <c r="G61" s="35"/>
      <c r="H61" s="35"/>
      <c r="I61" s="35"/>
      <c r="J61" s="35"/>
      <c r="K61" s="39"/>
      <c r="L61" s="39"/>
      <c r="M61" s="39"/>
      <c r="N61" s="39"/>
      <c r="O61" s="39"/>
      <c r="P61" s="39"/>
      <c r="Q61" s="39"/>
      <c r="R61" s="39"/>
      <c r="S61" s="39"/>
      <c r="T61" s="39"/>
      <c r="U61" s="39"/>
      <c r="V61" s="40"/>
      <c r="W61" s="40"/>
      <c r="X61" s="40"/>
      <c r="Y61" s="40"/>
      <c r="Z61" s="40"/>
      <c r="AA61" s="40"/>
      <c r="AE61" s="65"/>
      <c r="AF61" s="65"/>
      <c r="AG61" s="65"/>
      <c r="AH61" s="65"/>
      <c r="AI61" s="65"/>
      <c r="AJ61" s="65"/>
      <c r="AK61" s="65"/>
      <c r="AL61" s="65"/>
      <c r="AM61" s="65"/>
      <c r="AN61" s="65"/>
      <c r="AO61" s="65"/>
      <c r="AP61" s="65"/>
      <c r="AQ61" s="65"/>
      <c r="AR61" s="65"/>
      <c r="AS61" s="65"/>
      <c r="AT61" s="65"/>
    </row>
    <row r="62" spans="1:46" s="32" customFormat="1" x14ac:dyDescent="0.2">
      <c r="B62" s="44"/>
      <c r="C62" s="44"/>
      <c r="D62" s="35"/>
      <c r="E62" s="35"/>
      <c r="F62" s="35"/>
      <c r="G62" s="35"/>
      <c r="H62" s="35"/>
      <c r="I62" s="35"/>
      <c r="J62" s="35"/>
      <c r="K62" s="39"/>
      <c r="L62" s="39"/>
      <c r="M62" s="39"/>
      <c r="N62" s="39"/>
      <c r="O62" s="39"/>
      <c r="P62" s="39"/>
      <c r="Q62" s="39"/>
      <c r="R62" s="39"/>
      <c r="S62" s="39"/>
      <c r="T62" s="39"/>
      <c r="U62" s="39"/>
      <c r="V62" s="40"/>
      <c r="W62" s="40"/>
      <c r="X62" s="40"/>
      <c r="Y62" s="40"/>
      <c r="Z62" s="40"/>
      <c r="AA62" s="40"/>
      <c r="AE62" s="65"/>
      <c r="AF62" s="65"/>
      <c r="AG62" s="65"/>
      <c r="AH62" s="65"/>
      <c r="AI62" s="65"/>
      <c r="AJ62" s="65"/>
      <c r="AK62" s="65"/>
      <c r="AL62" s="65"/>
      <c r="AM62" s="65"/>
      <c r="AN62" s="65"/>
      <c r="AO62" s="65"/>
      <c r="AP62" s="65"/>
      <c r="AQ62" s="65"/>
      <c r="AR62" s="65"/>
      <c r="AS62" s="65"/>
      <c r="AT62" s="65"/>
    </row>
    <row r="63" spans="1:46" s="32" customFormat="1" x14ac:dyDescent="0.2">
      <c r="B63" s="44"/>
      <c r="C63" s="44"/>
      <c r="D63" s="35"/>
      <c r="E63" s="35"/>
      <c r="F63" s="35"/>
      <c r="G63" s="35"/>
      <c r="H63" s="35"/>
      <c r="I63" s="35"/>
      <c r="J63" s="35"/>
      <c r="K63" s="39"/>
      <c r="L63" s="39"/>
      <c r="M63" s="39"/>
      <c r="N63" s="39"/>
      <c r="O63" s="39"/>
      <c r="P63" s="39"/>
      <c r="Q63" s="39"/>
      <c r="R63" s="39"/>
      <c r="S63" s="39"/>
      <c r="T63" s="39"/>
      <c r="U63" s="39"/>
      <c r="V63" s="40"/>
      <c r="W63" s="40"/>
      <c r="X63" s="40"/>
      <c r="Y63" s="40"/>
      <c r="Z63" s="40"/>
      <c r="AA63" s="40"/>
      <c r="AE63" s="65"/>
      <c r="AF63" s="65"/>
      <c r="AG63" s="65"/>
      <c r="AH63" s="65"/>
      <c r="AI63" s="65"/>
      <c r="AJ63" s="65"/>
      <c r="AK63" s="65"/>
      <c r="AL63" s="65"/>
      <c r="AM63" s="65"/>
      <c r="AN63" s="65"/>
      <c r="AO63" s="65"/>
      <c r="AP63" s="65"/>
      <c r="AQ63" s="65"/>
      <c r="AR63" s="65"/>
      <c r="AS63" s="65"/>
      <c r="AT63" s="65"/>
    </row>
    <row r="64" spans="1:46" s="32" customFormat="1" x14ac:dyDescent="0.2">
      <c r="B64" s="44"/>
      <c r="C64" s="44"/>
      <c r="D64" s="35"/>
      <c r="E64" s="35"/>
      <c r="F64" s="35"/>
      <c r="G64" s="35"/>
      <c r="H64" s="35"/>
      <c r="I64" s="35"/>
      <c r="J64" s="35"/>
      <c r="K64" s="39"/>
      <c r="L64" s="39"/>
      <c r="M64" s="39"/>
      <c r="N64" s="39"/>
      <c r="O64" s="39"/>
      <c r="P64" s="39"/>
      <c r="Q64" s="39"/>
      <c r="R64" s="39"/>
      <c r="S64" s="39"/>
      <c r="T64" s="39"/>
      <c r="U64" s="39"/>
      <c r="V64" s="40"/>
      <c r="W64" s="40"/>
      <c r="X64" s="40"/>
      <c r="Y64" s="40"/>
      <c r="Z64" s="40"/>
      <c r="AA64" s="40"/>
      <c r="AE64" s="65"/>
      <c r="AF64" s="65"/>
      <c r="AG64" s="65"/>
      <c r="AH64" s="65"/>
      <c r="AI64" s="65"/>
      <c r="AJ64" s="65"/>
      <c r="AK64" s="65"/>
      <c r="AL64" s="65"/>
      <c r="AM64" s="65"/>
      <c r="AN64" s="65"/>
      <c r="AO64" s="65"/>
      <c r="AP64" s="65"/>
      <c r="AQ64" s="65"/>
      <c r="AR64" s="65"/>
      <c r="AS64" s="65"/>
      <c r="AT64" s="65"/>
    </row>
    <row r="65" spans="2:46" s="32" customFormat="1" x14ac:dyDescent="0.2">
      <c r="B65" s="44"/>
      <c r="C65" s="44"/>
      <c r="D65" s="35"/>
      <c r="E65" s="35"/>
      <c r="F65" s="35"/>
      <c r="G65" s="35"/>
      <c r="H65" s="35"/>
      <c r="I65" s="35"/>
      <c r="J65" s="35"/>
      <c r="K65" s="39"/>
      <c r="L65" s="39"/>
      <c r="M65" s="39"/>
      <c r="N65" s="39"/>
      <c r="O65" s="39"/>
      <c r="P65" s="39"/>
      <c r="Q65" s="39"/>
      <c r="R65" s="39"/>
      <c r="S65" s="39"/>
      <c r="T65" s="39"/>
      <c r="U65" s="39"/>
      <c r="V65" s="40"/>
      <c r="W65" s="40"/>
      <c r="X65" s="40"/>
      <c r="Y65" s="40"/>
      <c r="Z65" s="40"/>
      <c r="AA65" s="40"/>
      <c r="AE65" s="65"/>
      <c r="AF65" s="65"/>
      <c r="AG65" s="65"/>
      <c r="AH65" s="65"/>
      <c r="AI65" s="65"/>
      <c r="AJ65" s="65"/>
      <c r="AK65" s="65"/>
      <c r="AL65" s="65"/>
      <c r="AM65" s="65"/>
      <c r="AN65" s="65"/>
      <c r="AO65" s="65"/>
      <c r="AP65" s="65"/>
      <c r="AQ65" s="65"/>
      <c r="AR65" s="65"/>
      <c r="AS65" s="65"/>
      <c r="AT65" s="65"/>
    </row>
    <row r="66" spans="2:46" s="32" customFormat="1" x14ac:dyDescent="0.2">
      <c r="B66" s="44"/>
      <c r="C66" s="44"/>
      <c r="D66" s="35"/>
      <c r="E66" s="35"/>
      <c r="F66" s="35"/>
      <c r="G66" s="35"/>
      <c r="H66" s="35"/>
      <c r="I66" s="35"/>
      <c r="J66" s="35"/>
      <c r="K66" s="39"/>
      <c r="L66" s="39"/>
      <c r="M66" s="39"/>
      <c r="N66" s="39"/>
      <c r="O66" s="39"/>
      <c r="P66" s="39"/>
      <c r="Q66" s="39"/>
      <c r="R66" s="39"/>
      <c r="S66" s="39"/>
      <c r="T66" s="39"/>
      <c r="U66" s="39"/>
      <c r="V66" s="40"/>
      <c r="W66" s="40"/>
      <c r="X66" s="40"/>
      <c r="Y66" s="40"/>
      <c r="Z66" s="40"/>
      <c r="AA66" s="40"/>
      <c r="AE66" s="65"/>
      <c r="AF66" s="65"/>
      <c r="AG66" s="65"/>
      <c r="AH66" s="65"/>
      <c r="AI66" s="65"/>
      <c r="AJ66" s="65"/>
      <c r="AK66" s="65"/>
      <c r="AL66" s="65"/>
      <c r="AM66" s="65"/>
      <c r="AN66" s="65"/>
      <c r="AO66" s="65"/>
      <c r="AP66" s="65"/>
      <c r="AQ66" s="65"/>
      <c r="AR66" s="65"/>
      <c r="AS66" s="65"/>
      <c r="AT66" s="65"/>
    </row>
    <row r="67" spans="2:46" s="32" customFormat="1" x14ac:dyDescent="0.2">
      <c r="B67" s="44"/>
      <c r="C67" s="44"/>
      <c r="D67" s="35"/>
      <c r="E67" s="35"/>
      <c r="F67" s="35"/>
      <c r="G67" s="35"/>
      <c r="H67" s="35"/>
      <c r="I67" s="35"/>
      <c r="J67" s="35"/>
      <c r="K67" s="39"/>
      <c r="L67" s="39"/>
      <c r="M67" s="39"/>
      <c r="N67" s="39"/>
      <c r="O67" s="39"/>
      <c r="P67" s="39"/>
      <c r="Q67" s="39"/>
      <c r="R67" s="39"/>
      <c r="S67" s="39"/>
      <c r="T67" s="39"/>
      <c r="U67" s="39"/>
      <c r="V67" s="40"/>
      <c r="W67" s="40"/>
      <c r="X67" s="40"/>
      <c r="Y67" s="40"/>
      <c r="Z67" s="40"/>
      <c r="AA67" s="40"/>
      <c r="AE67" s="65"/>
      <c r="AF67" s="65"/>
      <c r="AG67" s="65"/>
      <c r="AH67" s="65"/>
      <c r="AI67" s="65"/>
      <c r="AJ67" s="65"/>
      <c r="AK67" s="65"/>
      <c r="AL67" s="65"/>
      <c r="AM67" s="65"/>
      <c r="AN67" s="65"/>
      <c r="AO67" s="65"/>
      <c r="AP67" s="65"/>
      <c r="AQ67" s="65"/>
      <c r="AR67" s="65"/>
      <c r="AS67" s="65"/>
      <c r="AT67" s="65"/>
    </row>
    <row r="68" spans="2:46" s="32" customFormat="1" x14ac:dyDescent="0.2">
      <c r="B68" s="44"/>
      <c r="C68" s="44"/>
      <c r="D68" s="35"/>
      <c r="E68" s="35"/>
      <c r="F68" s="35"/>
      <c r="G68" s="35"/>
      <c r="H68" s="35"/>
      <c r="I68" s="35"/>
      <c r="J68" s="35"/>
      <c r="K68" s="39"/>
      <c r="L68" s="39"/>
      <c r="M68" s="39"/>
      <c r="N68" s="39"/>
      <c r="O68" s="39"/>
      <c r="P68" s="39"/>
      <c r="Q68" s="39"/>
      <c r="R68" s="39"/>
      <c r="S68" s="39"/>
      <c r="T68" s="39"/>
      <c r="U68" s="39"/>
      <c r="V68" s="40"/>
      <c r="W68" s="40"/>
      <c r="X68" s="40"/>
      <c r="Y68" s="40"/>
      <c r="Z68" s="40"/>
      <c r="AA68" s="40"/>
      <c r="AE68" s="65"/>
      <c r="AF68" s="65"/>
      <c r="AG68" s="65"/>
      <c r="AH68" s="65"/>
      <c r="AI68" s="65"/>
      <c r="AJ68" s="65"/>
      <c r="AK68" s="65"/>
      <c r="AL68" s="65"/>
      <c r="AM68" s="65"/>
      <c r="AN68" s="65"/>
      <c r="AO68" s="65"/>
      <c r="AP68" s="65"/>
      <c r="AQ68" s="65"/>
      <c r="AR68" s="65"/>
      <c r="AS68" s="65"/>
      <c r="AT68" s="65"/>
    </row>
    <row r="69" spans="2:46" s="32" customFormat="1" x14ac:dyDescent="0.2">
      <c r="B69" s="44"/>
      <c r="C69" s="44"/>
      <c r="D69" s="35"/>
      <c r="E69" s="35"/>
      <c r="F69" s="35"/>
      <c r="G69" s="35"/>
      <c r="H69" s="35"/>
      <c r="I69" s="35"/>
      <c r="J69" s="35"/>
      <c r="K69" s="39"/>
      <c r="L69" s="39"/>
      <c r="M69" s="39"/>
      <c r="N69" s="39"/>
      <c r="O69" s="39"/>
      <c r="P69" s="39"/>
      <c r="Q69" s="39"/>
      <c r="R69" s="39"/>
      <c r="S69" s="39"/>
      <c r="T69" s="39"/>
      <c r="U69" s="39"/>
      <c r="V69" s="40"/>
      <c r="W69" s="40"/>
      <c r="X69" s="40"/>
      <c r="Y69" s="40"/>
      <c r="Z69" s="40"/>
      <c r="AA69" s="40"/>
      <c r="AE69" s="65"/>
      <c r="AF69" s="65"/>
      <c r="AG69" s="65"/>
      <c r="AH69" s="65"/>
      <c r="AI69" s="65"/>
      <c r="AJ69" s="65"/>
      <c r="AK69" s="65"/>
      <c r="AL69" s="65"/>
      <c r="AM69" s="65"/>
      <c r="AN69" s="65"/>
      <c r="AO69" s="65"/>
      <c r="AP69" s="65"/>
      <c r="AQ69" s="65"/>
      <c r="AR69" s="65"/>
      <c r="AS69" s="65"/>
      <c r="AT69" s="65"/>
    </row>
    <row r="70" spans="2:46" s="32" customFormat="1" x14ac:dyDescent="0.2">
      <c r="B70" s="44"/>
      <c r="C70" s="44"/>
      <c r="D70" s="35"/>
      <c r="E70" s="35"/>
      <c r="F70" s="35"/>
      <c r="G70" s="35"/>
      <c r="H70" s="35"/>
      <c r="I70" s="35"/>
      <c r="J70" s="35"/>
      <c r="K70" s="39"/>
      <c r="L70" s="39"/>
      <c r="M70" s="39"/>
      <c r="N70" s="39"/>
      <c r="O70" s="39"/>
      <c r="P70" s="39"/>
      <c r="Q70" s="39"/>
      <c r="R70" s="39"/>
      <c r="S70" s="39"/>
      <c r="T70" s="39"/>
      <c r="U70" s="39"/>
      <c r="V70" s="40"/>
      <c r="W70" s="40"/>
      <c r="X70" s="40"/>
      <c r="Y70" s="40"/>
      <c r="Z70" s="40"/>
      <c r="AA70" s="40"/>
      <c r="AE70" s="65"/>
      <c r="AF70" s="65"/>
      <c r="AG70" s="65"/>
      <c r="AH70" s="65"/>
      <c r="AI70" s="65"/>
      <c r="AJ70" s="65"/>
      <c r="AK70" s="65"/>
      <c r="AL70" s="65"/>
      <c r="AM70" s="65"/>
      <c r="AN70" s="65"/>
      <c r="AO70" s="65"/>
      <c r="AP70" s="65"/>
      <c r="AQ70" s="65"/>
      <c r="AR70" s="65"/>
      <c r="AS70" s="65"/>
      <c r="AT70" s="65"/>
    </row>
    <row r="71" spans="2:46" s="32" customFormat="1" x14ac:dyDescent="0.2">
      <c r="B71" s="44"/>
      <c r="C71" s="44"/>
      <c r="D71" s="35"/>
      <c r="E71" s="35"/>
      <c r="F71" s="35"/>
      <c r="G71" s="35"/>
      <c r="H71" s="35"/>
      <c r="I71" s="35"/>
      <c r="J71" s="35"/>
      <c r="K71" s="39"/>
      <c r="L71" s="39"/>
      <c r="M71" s="39"/>
      <c r="N71" s="39"/>
      <c r="O71" s="39"/>
      <c r="P71" s="39"/>
      <c r="Q71" s="39"/>
      <c r="R71" s="39"/>
      <c r="S71" s="39"/>
      <c r="T71" s="39"/>
      <c r="U71" s="39"/>
      <c r="V71" s="40"/>
      <c r="W71" s="40"/>
      <c r="X71" s="40"/>
      <c r="Y71" s="40"/>
      <c r="Z71" s="40"/>
      <c r="AA71" s="40"/>
      <c r="AE71" s="65"/>
      <c r="AF71" s="65"/>
      <c r="AG71" s="65"/>
      <c r="AH71" s="65"/>
      <c r="AI71" s="65"/>
      <c r="AJ71" s="65"/>
      <c r="AK71" s="65"/>
      <c r="AL71" s="65"/>
      <c r="AM71" s="65"/>
      <c r="AN71" s="65"/>
      <c r="AO71" s="65"/>
      <c r="AP71" s="65"/>
      <c r="AQ71" s="65"/>
      <c r="AR71" s="65"/>
      <c r="AS71" s="65"/>
      <c r="AT71" s="65"/>
    </row>
    <row r="72" spans="2:46" s="32" customFormat="1" x14ac:dyDescent="0.2">
      <c r="B72" s="44"/>
      <c r="C72" s="44"/>
      <c r="D72" s="35"/>
      <c r="E72" s="35"/>
      <c r="F72" s="35"/>
      <c r="G72" s="35"/>
      <c r="H72" s="35"/>
      <c r="I72" s="35"/>
      <c r="J72" s="35"/>
      <c r="K72" s="39"/>
      <c r="L72" s="39"/>
      <c r="M72" s="39"/>
      <c r="N72" s="39"/>
      <c r="O72" s="39"/>
      <c r="P72" s="39"/>
      <c r="Q72" s="39"/>
      <c r="R72" s="39"/>
      <c r="S72" s="39"/>
      <c r="T72" s="39"/>
      <c r="U72" s="39"/>
      <c r="V72" s="40"/>
      <c r="W72" s="40"/>
      <c r="X72" s="40"/>
      <c r="Y72" s="40"/>
      <c r="Z72" s="40"/>
      <c r="AA72" s="40"/>
      <c r="AE72" s="65"/>
      <c r="AF72" s="65"/>
      <c r="AG72" s="65"/>
      <c r="AH72" s="65"/>
      <c r="AI72" s="65"/>
      <c r="AJ72" s="65"/>
      <c r="AK72" s="65"/>
      <c r="AL72" s="65"/>
      <c r="AM72" s="65"/>
      <c r="AN72" s="65"/>
      <c r="AO72" s="65"/>
      <c r="AP72" s="65"/>
      <c r="AQ72" s="65"/>
      <c r="AR72" s="65"/>
      <c r="AS72" s="65"/>
      <c r="AT72" s="65"/>
    </row>
    <row r="73" spans="2:46" s="32" customFormat="1" x14ac:dyDescent="0.2">
      <c r="B73" s="44"/>
      <c r="C73" s="44"/>
      <c r="D73" s="35"/>
      <c r="E73" s="35"/>
      <c r="F73" s="35"/>
      <c r="G73" s="35"/>
      <c r="H73" s="35"/>
      <c r="I73" s="35"/>
      <c r="J73" s="35"/>
      <c r="K73" s="39"/>
      <c r="L73" s="39"/>
      <c r="M73" s="39"/>
      <c r="N73" s="39"/>
      <c r="O73" s="39"/>
      <c r="P73" s="39"/>
      <c r="Q73" s="39"/>
      <c r="R73" s="39"/>
      <c r="S73" s="39"/>
      <c r="T73" s="39"/>
      <c r="U73" s="39"/>
      <c r="V73" s="40"/>
      <c r="W73" s="40"/>
      <c r="X73" s="40"/>
      <c r="Y73" s="40"/>
      <c r="Z73" s="40"/>
      <c r="AA73" s="40"/>
      <c r="AE73" s="65"/>
      <c r="AF73" s="65"/>
      <c r="AG73" s="65"/>
      <c r="AH73" s="65"/>
      <c r="AI73" s="65"/>
      <c r="AJ73" s="65"/>
      <c r="AK73" s="65"/>
      <c r="AL73" s="65"/>
      <c r="AM73" s="65"/>
      <c r="AN73" s="65"/>
      <c r="AO73" s="65"/>
      <c r="AP73" s="65"/>
      <c r="AQ73" s="65"/>
      <c r="AR73" s="65"/>
      <c r="AS73" s="65"/>
      <c r="AT73" s="65"/>
    </row>
    <row r="74" spans="2:46" s="32" customFormat="1" x14ac:dyDescent="0.2">
      <c r="B74" s="44"/>
      <c r="C74" s="44"/>
      <c r="D74" s="35"/>
      <c r="E74" s="35"/>
      <c r="F74" s="35"/>
      <c r="G74" s="35"/>
      <c r="H74" s="35"/>
      <c r="I74" s="35"/>
      <c r="J74" s="35"/>
      <c r="K74" s="39"/>
      <c r="L74" s="39"/>
      <c r="M74" s="39"/>
      <c r="N74" s="39"/>
      <c r="O74" s="39"/>
      <c r="P74" s="39"/>
      <c r="Q74" s="39"/>
      <c r="R74" s="39"/>
      <c r="S74" s="39"/>
      <c r="T74" s="39"/>
      <c r="U74" s="39"/>
      <c r="V74" s="40"/>
      <c r="W74" s="40"/>
      <c r="X74" s="40"/>
      <c r="Y74" s="40"/>
      <c r="Z74" s="40"/>
      <c r="AA74" s="40"/>
      <c r="AE74" s="65"/>
      <c r="AF74" s="65"/>
      <c r="AG74" s="65"/>
      <c r="AH74" s="65"/>
      <c r="AI74" s="65"/>
      <c r="AJ74" s="65"/>
      <c r="AK74" s="65"/>
      <c r="AL74" s="65"/>
      <c r="AM74" s="65"/>
      <c r="AN74" s="65"/>
      <c r="AO74" s="65"/>
      <c r="AP74" s="65"/>
      <c r="AQ74" s="65"/>
      <c r="AR74" s="65"/>
      <c r="AS74" s="65"/>
      <c r="AT74" s="65"/>
    </row>
    <row r="75" spans="2:46" s="32" customFormat="1" x14ac:dyDescent="0.2">
      <c r="B75" s="44"/>
      <c r="C75" s="44"/>
      <c r="D75" s="35"/>
      <c r="E75" s="35"/>
      <c r="F75" s="35"/>
      <c r="G75" s="35"/>
      <c r="H75" s="35"/>
      <c r="I75" s="35"/>
      <c r="J75" s="35"/>
      <c r="K75" s="39"/>
      <c r="L75" s="39"/>
      <c r="M75" s="39"/>
      <c r="N75" s="39"/>
      <c r="O75" s="39"/>
      <c r="P75" s="39"/>
      <c r="Q75" s="39"/>
      <c r="R75" s="39"/>
      <c r="S75" s="39"/>
      <c r="T75" s="39"/>
      <c r="U75" s="39"/>
      <c r="V75" s="40"/>
      <c r="W75" s="40"/>
      <c r="X75" s="40"/>
      <c r="Y75" s="40"/>
      <c r="Z75" s="40"/>
      <c r="AA75" s="40"/>
      <c r="AE75" s="65"/>
      <c r="AF75" s="65"/>
      <c r="AG75" s="65"/>
      <c r="AH75" s="65"/>
      <c r="AI75" s="65"/>
      <c r="AJ75" s="65"/>
      <c r="AK75" s="65"/>
      <c r="AL75" s="65"/>
      <c r="AM75" s="65"/>
      <c r="AN75" s="65"/>
      <c r="AO75" s="65"/>
      <c r="AP75" s="65"/>
      <c r="AQ75" s="65"/>
      <c r="AR75" s="65"/>
      <c r="AS75" s="65"/>
      <c r="AT75" s="65"/>
    </row>
    <row r="76" spans="2:46" s="32" customFormat="1" x14ac:dyDescent="0.2">
      <c r="B76" s="44"/>
      <c r="C76" s="44"/>
      <c r="D76" s="35"/>
      <c r="E76" s="35"/>
      <c r="F76" s="35"/>
      <c r="G76" s="35"/>
      <c r="H76" s="35"/>
      <c r="I76" s="35"/>
      <c r="J76" s="35"/>
      <c r="K76" s="39"/>
      <c r="L76" s="39"/>
      <c r="M76" s="39"/>
      <c r="N76" s="39"/>
      <c r="O76" s="39"/>
      <c r="P76" s="39"/>
      <c r="Q76" s="39"/>
      <c r="R76" s="39"/>
      <c r="S76" s="39"/>
      <c r="T76" s="39"/>
      <c r="U76" s="39"/>
      <c r="V76" s="40"/>
      <c r="W76" s="40"/>
      <c r="X76" s="40"/>
      <c r="Y76" s="40"/>
      <c r="Z76" s="40"/>
      <c r="AA76" s="40"/>
      <c r="AE76" s="65"/>
      <c r="AF76" s="65"/>
      <c r="AG76" s="65"/>
      <c r="AH76" s="65"/>
      <c r="AI76" s="65"/>
      <c r="AJ76" s="65"/>
      <c r="AK76" s="65"/>
      <c r="AL76" s="65"/>
      <c r="AM76" s="65"/>
      <c r="AN76" s="65"/>
      <c r="AO76" s="65"/>
      <c r="AP76" s="65"/>
      <c r="AQ76" s="65"/>
      <c r="AR76" s="65"/>
      <c r="AS76" s="65"/>
      <c r="AT76" s="65"/>
    </row>
    <row r="77" spans="2:46" s="32" customFormat="1" x14ac:dyDescent="0.2">
      <c r="B77" s="44"/>
      <c r="C77" s="44"/>
      <c r="D77" s="35"/>
      <c r="E77" s="35"/>
      <c r="F77" s="35"/>
      <c r="G77" s="35"/>
      <c r="H77" s="35"/>
      <c r="I77" s="35"/>
      <c r="J77" s="35"/>
      <c r="K77" s="39"/>
      <c r="L77" s="39"/>
      <c r="M77" s="39"/>
      <c r="N77" s="39"/>
      <c r="O77" s="39"/>
      <c r="P77" s="39"/>
      <c r="Q77" s="39"/>
      <c r="R77" s="39"/>
      <c r="S77" s="39"/>
      <c r="T77" s="39"/>
      <c r="U77" s="39"/>
      <c r="V77" s="40"/>
      <c r="W77" s="40"/>
      <c r="X77" s="40"/>
      <c r="Y77" s="40"/>
      <c r="Z77" s="40"/>
      <c r="AA77" s="40"/>
      <c r="AE77" s="65"/>
      <c r="AF77" s="65"/>
      <c r="AG77" s="65"/>
      <c r="AH77" s="65"/>
      <c r="AI77" s="65"/>
      <c r="AJ77" s="65"/>
      <c r="AK77" s="65"/>
      <c r="AL77" s="65"/>
      <c r="AM77" s="65"/>
      <c r="AN77" s="65"/>
      <c r="AO77" s="65"/>
      <c r="AP77" s="65"/>
      <c r="AQ77" s="65"/>
      <c r="AR77" s="65"/>
      <c r="AS77" s="65"/>
      <c r="AT77" s="65"/>
    </row>
    <row r="78" spans="2:46" s="32" customFormat="1" x14ac:dyDescent="0.2">
      <c r="B78" s="44"/>
      <c r="C78" s="44"/>
      <c r="D78" s="35"/>
      <c r="E78" s="35"/>
      <c r="F78" s="35"/>
      <c r="G78" s="35"/>
      <c r="H78" s="35"/>
      <c r="I78" s="35"/>
      <c r="J78" s="35"/>
      <c r="K78" s="39"/>
      <c r="L78" s="39"/>
      <c r="M78" s="39"/>
      <c r="N78" s="39"/>
      <c r="O78" s="39"/>
      <c r="P78" s="39"/>
      <c r="Q78" s="39"/>
      <c r="R78" s="39"/>
      <c r="S78" s="39"/>
      <c r="T78" s="39"/>
      <c r="U78" s="39"/>
      <c r="V78" s="40"/>
      <c r="W78" s="40"/>
      <c r="X78" s="40"/>
      <c r="Y78" s="40"/>
      <c r="Z78" s="40"/>
      <c r="AA78" s="40"/>
      <c r="AE78" s="65"/>
      <c r="AF78" s="65"/>
      <c r="AG78" s="65"/>
      <c r="AH78" s="65"/>
      <c r="AI78" s="65"/>
      <c r="AJ78" s="65"/>
      <c r="AK78" s="65"/>
      <c r="AL78" s="65"/>
      <c r="AM78" s="65"/>
      <c r="AN78" s="65"/>
      <c r="AO78" s="65"/>
      <c r="AP78" s="65"/>
      <c r="AQ78" s="65"/>
      <c r="AR78" s="65"/>
      <c r="AS78" s="65"/>
      <c r="AT78" s="65"/>
    </row>
    <row r="79" spans="2:46" s="32" customFormat="1" x14ac:dyDescent="0.2">
      <c r="B79" s="44"/>
      <c r="C79" s="44"/>
      <c r="D79" s="35"/>
      <c r="E79" s="35"/>
      <c r="F79" s="35"/>
      <c r="G79" s="35"/>
      <c r="H79" s="35"/>
      <c r="I79" s="35"/>
      <c r="J79" s="35"/>
      <c r="K79" s="39"/>
      <c r="L79" s="39"/>
      <c r="M79" s="39"/>
      <c r="N79" s="39"/>
      <c r="O79" s="39"/>
      <c r="P79" s="39"/>
      <c r="Q79" s="39"/>
      <c r="R79" s="39"/>
      <c r="S79" s="39"/>
      <c r="T79" s="39"/>
      <c r="U79" s="39"/>
      <c r="V79" s="40"/>
      <c r="W79" s="40"/>
      <c r="X79" s="40"/>
      <c r="Y79" s="40"/>
      <c r="Z79" s="40"/>
      <c r="AA79" s="40"/>
      <c r="AE79" s="65"/>
      <c r="AF79" s="65"/>
      <c r="AG79" s="65"/>
      <c r="AH79" s="65"/>
      <c r="AI79" s="65"/>
      <c r="AJ79" s="65"/>
      <c r="AK79" s="65"/>
      <c r="AL79" s="65"/>
      <c r="AM79" s="65"/>
      <c r="AN79" s="65"/>
      <c r="AO79" s="65"/>
      <c r="AP79" s="65"/>
      <c r="AQ79" s="65"/>
      <c r="AR79" s="65"/>
      <c r="AS79" s="65"/>
      <c r="AT79" s="65"/>
    </row>
    <row r="80" spans="2:46" s="32" customFormat="1" x14ac:dyDescent="0.2">
      <c r="B80" s="44"/>
      <c r="C80" s="44"/>
      <c r="D80" s="35"/>
      <c r="E80" s="35"/>
      <c r="F80" s="35"/>
      <c r="G80" s="35"/>
      <c r="H80" s="35"/>
      <c r="I80" s="35"/>
      <c r="J80" s="35"/>
      <c r="K80" s="39"/>
      <c r="L80" s="39"/>
      <c r="M80" s="39"/>
      <c r="N80" s="39"/>
      <c r="O80" s="39"/>
      <c r="P80" s="39"/>
      <c r="Q80" s="39"/>
      <c r="R80" s="39"/>
      <c r="S80" s="39"/>
      <c r="T80" s="39"/>
      <c r="U80" s="39"/>
      <c r="V80" s="40"/>
      <c r="W80" s="40"/>
      <c r="X80" s="40"/>
      <c r="Y80" s="40"/>
      <c r="Z80" s="40"/>
      <c r="AA80" s="40"/>
      <c r="AE80" s="65"/>
      <c r="AF80" s="65"/>
      <c r="AG80" s="65"/>
      <c r="AH80" s="65"/>
      <c r="AI80" s="65"/>
      <c r="AJ80" s="65"/>
      <c r="AK80" s="65"/>
      <c r="AL80" s="65"/>
      <c r="AM80" s="65"/>
      <c r="AN80" s="65"/>
      <c r="AO80" s="65"/>
      <c r="AP80" s="65"/>
      <c r="AQ80" s="65"/>
      <c r="AR80" s="65"/>
      <c r="AS80" s="65"/>
      <c r="AT80" s="65"/>
    </row>
    <row r="81" spans="2:46" s="32" customFormat="1" x14ac:dyDescent="0.2">
      <c r="B81" s="44"/>
      <c r="C81" s="44"/>
      <c r="D81" s="35"/>
      <c r="E81" s="35"/>
      <c r="F81" s="35"/>
      <c r="G81" s="35"/>
      <c r="H81" s="35"/>
      <c r="I81" s="35"/>
      <c r="J81" s="35"/>
      <c r="K81" s="39"/>
      <c r="L81" s="39"/>
      <c r="M81" s="39"/>
      <c r="N81" s="39"/>
      <c r="O81" s="39"/>
      <c r="P81" s="39"/>
      <c r="Q81" s="39"/>
      <c r="R81" s="39"/>
      <c r="S81" s="39"/>
      <c r="T81" s="39"/>
      <c r="U81" s="39"/>
      <c r="V81" s="40"/>
      <c r="W81" s="40"/>
      <c r="X81" s="40"/>
      <c r="Y81" s="40"/>
      <c r="Z81" s="40"/>
      <c r="AA81" s="40"/>
      <c r="AE81" s="65"/>
      <c r="AF81" s="65"/>
      <c r="AG81" s="65"/>
      <c r="AH81" s="65"/>
      <c r="AI81" s="65"/>
      <c r="AJ81" s="65"/>
      <c r="AK81" s="65"/>
      <c r="AL81" s="65"/>
      <c r="AM81" s="65"/>
      <c r="AN81" s="65"/>
      <c r="AO81" s="65"/>
      <c r="AP81" s="65"/>
      <c r="AQ81" s="65"/>
      <c r="AR81" s="65"/>
      <c r="AS81" s="65"/>
      <c r="AT81" s="65"/>
    </row>
    <row r="82" spans="2:46" s="32" customFormat="1" x14ac:dyDescent="0.2">
      <c r="B82" s="44"/>
      <c r="C82" s="44"/>
      <c r="D82" s="35"/>
      <c r="E82" s="35"/>
      <c r="F82" s="35"/>
      <c r="G82" s="35"/>
      <c r="H82" s="35"/>
      <c r="I82" s="35"/>
      <c r="J82" s="35"/>
      <c r="K82" s="39"/>
      <c r="L82" s="39"/>
      <c r="M82" s="39"/>
      <c r="N82" s="39"/>
      <c r="O82" s="39"/>
      <c r="P82" s="39"/>
      <c r="Q82" s="39"/>
      <c r="R82" s="39"/>
      <c r="S82" s="39"/>
      <c r="T82" s="39"/>
      <c r="U82" s="39"/>
      <c r="V82" s="40"/>
      <c r="W82" s="40"/>
      <c r="X82" s="40"/>
      <c r="Y82" s="40"/>
      <c r="Z82" s="40"/>
      <c r="AA82" s="40"/>
      <c r="AE82" s="65"/>
      <c r="AF82" s="65"/>
      <c r="AG82" s="65"/>
      <c r="AH82" s="65"/>
      <c r="AI82" s="65"/>
      <c r="AJ82" s="65"/>
      <c r="AK82" s="65"/>
      <c r="AL82" s="65"/>
      <c r="AM82" s="65"/>
      <c r="AN82" s="65"/>
      <c r="AO82" s="65"/>
      <c r="AP82" s="65"/>
      <c r="AQ82" s="65"/>
      <c r="AR82" s="65"/>
      <c r="AS82" s="65"/>
      <c r="AT82" s="65"/>
    </row>
    <row r="83" spans="2:46" s="32" customFormat="1" x14ac:dyDescent="0.2">
      <c r="B83" s="44"/>
      <c r="C83" s="44"/>
      <c r="D83" s="35"/>
      <c r="E83" s="35"/>
      <c r="F83" s="35"/>
      <c r="G83" s="35"/>
      <c r="H83" s="35"/>
      <c r="I83" s="35"/>
      <c r="J83" s="35"/>
      <c r="K83" s="39"/>
      <c r="L83" s="39"/>
      <c r="M83" s="39"/>
      <c r="N83" s="39"/>
      <c r="O83" s="39"/>
      <c r="P83" s="39"/>
      <c r="Q83" s="39"/>
      <c r="R83" s="39"/>
      <c r="S83" s="39"/>
      <c r="T83" s="39"/>
      <c r="U83" s="39"/>
      <c r="V83" s="40"/>
      <c r="W83" s="40"/>
      <c r="X83" s="40"/>
      <c r="Y83" s="40"/>
      <c r="Z83" s="40"/>
      <c r="AA83" s="40"/>
      <c r="AE83" s="65"/>
      <c r="AF83" s="65"/>
      <c r="AG83" s="65"/>
      <c r="AH83" s="65"/>
      <c r="AI83" s="65"/>
      <c r="AJ83" s="65"/>
      <c r="AK83" s="65"/>
      <c r="AL83" s="65"/>
      <c r="AM83" s="65"/>
      <c r="AN83" s="65"/>
      <c r="AO83" s="65"/>
      <c r="AP83" s="65"/>
      <c r="AQ83" s="65"/>
      <c r="AR83" s="65"/>
      <c r="AS83" s="65"/>
      <c r="AT83" s="65"/>
    </row>
    <row r="84" spans="2:46" s="32" customFormat="1" x14ac:dyDescent="0.2">
      <c r="B84" s="44"/>
      <c r="C84" s="44"/>
      <c r="D84" s="35"/>
      <c r="E84" s="35"/>
      <c r="F84" s="35"/>
      <c r="G84" s="35"/>
      <c r="H84" s="35"/>
      <c r="I84" s="35"/>
      <c r="J84" s="35"/>
      <c r="K84" s="39"/>
      <c r="L84" s="39"/>
      <c r="M84" s="39"/>
      <c r="N84" s="39"/>
      <c r="O84" s="39"/>
      <c r="P84" s="39"/>
      <c r="Q84" s="39"/>
      <c r="R84" s="39"/>
      <c r="S84" s="39"/>
      <c r="T84" s="39"/>
      <c r="U84" s="39"/>
      <c r="V84" s="40"/>
      <c r="W84" s="40"/>
      <c r="X84" s="40"/>
      <c r="Y84" s="40"/>
      <c r="Z84" s="40"/>
      <c r="AA84" s="40"/>
      <c r="AE84" s="65"/>
      <c r="AF84" s="65"/>
      <c r="AG84" s="65"/>
      <c r="AH84" s="65"/>
      <c r="AI84" s="65"/>
      <c r="AJ84" s="65"/>
      <c r="AK84" s="65"/>
      <c r="AL84" s="65"/>
      <c r="AM84" s="65"/>
      <c r="AN84" s="65"/>
      <c r="AO84" s="65"/>
      <c r="AP84" s="65"/>
      <c r="AQ84" s="65"/>
      <c r="AR84" s="65"/>
      <c r="AS84" s="65"/>
      <c r="AT84" s="65"/>
    </row>
    <row r="85" spans="2:46" s="32" customFormat="1" x14ac:dyDescent="0.2">
      <c r="B85" s="44"/>
      <c r="C85" s="44"/>
      <c r="D85" s="35"/>
      <c r="E85" s="35"/>
      <c r="F85" s="35"/>
      <c r="G85" s="35"/>
      <c r="H85" s="35"/>
      <c r="I85" s="35"/>
      <c r="J85" s="35"/>
      <c r="K85" s="39"/>
      <c r="L85" s="39"/>
      <c r="M85" s="39"/>
      <c r="N85" s="39"/>
      <c r="O85" s="39"/>
      <c r="P85" s="39"/>
      <c r="Q85" s="39"/>
      <c r="R85" s="39"/>
      <c r="S85" s="39"/>
      <c r="T85" s="39"/>
      <c r="U85" s="39"/>
      <c r="V85" s="40"/>
      <c r="W85" s="40"/>
      <c r="X85" s="40"/>
      <c r="Y85" s="40"/>
      <c r="Z85" s="40"/>
      <c r="AA85" s="40"/>
      <c r="AE85" s="65"/>
      <c r="AF85" s="65"/>
      <c r="AG85" s="65"/>
      <c r="AH85" s="65"/>
      <c r="AI85" s="65"/>
      <c r="AJ85" s="65"/>
      <c r="AK85" s="65"/>
      <c r="AL85" s="65"/>
      <c r="AM85" s="65"/>
      <c r="AN85" s="65"/>
      <c r="AO85" s="65"/>
      <c r="AP85" s="65"/>
      <c r="AQ85" s="65"/>
      <c r="AR85" s="65"/>
      <c r="AS85" s="65"/>
      <c r="AT85" s="65"/>
    </row>
    <row r="86" spans="2:46" s="32" customFormat="1" x14ac:dyDescent="0.2">
      <c r="B86" s="44"/>
      <c r="C86" s="44"/>
      <c r="D86" s="35"/>
      <c r="E86" s="35"/>
      <c r="F86" s="35"/>
      <c r="G86" s="35"/>
      <c r="H86" s="35"/>
      <c r="I86" s="35"/>
      <c r="J86" s="35"/>
      <c r="K86" s="39"/>
      <c r="L86" s="39"/>
      <c r="M86" s="39"/>
      <c r="N86" s="39"/>
      <c r="O86" s="39"/>
      <c r="P86" s="39"/>
      <c r="Q86" s="39"/>
      <c r="R86" s="39"/>
      <c r="S86" s="39"/>
      <c r="T86" s="39"/>
      <c r="U86" s="39"/>
      <c r="V86" s="40"/>
      <c r="W86" s="40"/>
      <c r="X86" s="40"/>
      <c r="Y86" s="40"/>
      <c r="Z86" s="40"/>
      <c r="AA86" s="40"/>
      <c r="AE86" s="65"/>
      <c r="AF86" s="65"/>
      <c r="AG86" s="65"/>
      <c r="AH86" s="65"/>
      <c r="AI86" s="65"/>
      <c r="AJ86" s="65"/>
      <c r="AK86" s="65"/>
      <c r="AL86" s="65"/>
      <c r="AM86" s="65"/>
      <c r="AN86" s="65"/>
      <c r="AO86" s="65"/>
      <c r="AP86" s="65"/>
      <c r="AQ86" s="65"/>
      <c r="AR86" s="65"/>
      <c r="AS86" s="65"/>
      <c r="AT86" s="65"/>
    </row>
    <row r="87" spans="2:46" s="32" customFormat="1" x14ac:dyDescent="0.2">
      <c r="B87" s="44"/>
      <c r="C87" s="44"/>
      <c r="D87" s="35"/>
      <c r="E87" s="35"/>
      <c r="F87" s="35"/>
      <c r="G87" s="35"/>
      <c r="H87" s="35"/>
      <c r="I87" s="35"/>
      <c r="J87" s="35"/>
      <c r="K87" s="39"/>
      <c r="L87" s="39"/>
      <c r="M87" s="39"/>
      <c r="N87" s="39"/>
      <c r="O87" s="39"/>
      <c r="P87" s="39"/>
      <c r="Q87" s="39"/>
      <c r="R87" s="39"/>
      <c r="S87" s="39"/>
      <c r="T87" s="39"/>
      <c r="U87" s="39"/>
      <c r="V87" s="40"/>
      <c r="W87" s="40"/>
      <c r="X87" s="40"/>
      <c r="Y87" s="40"/>
      <c r="Z87" s="40"/>
      <c r="AA87" s="40"/>
      <c r="AE87" s="65"/>
      <c r="AF87" s="65"/>
      <c r="AG87" s="65"/>
      <c r="AH87" s="65"/>
      <c r="AI87" s="65"/>
      <c r="AJ87" s="65"/>
      <c r="AK87" s="65"/>
      <c r="AL87" s="65"/>
      <c r="AM87" s="65"/>
      <c r="AN87" s="65"/>
      <c r="AO87" s="65"/>
      <c r="AP87" s="65"/>
      <c r="AQ87" s="65"/>
      <c r="AR87" s="65"/>
      <c r="AS87" s="65"/>
      <c r="AT87" s="65"/>
    </row>
    <row r="88" spans="2:46" s="32" customFormat="1" x14ac:dyDescent="0.2">
      <c r="B88" s="44"/>
      <c r="C88" s="44"/>
      <c r="D88" s="35"/>
      <c r="E88" s="35"/>
      <c r="F88" s="35"/>
      <c r="G88" s="35"/>
      <c r="H88" s="35"/>
      <c r="I88" s="35"/>
      <c r="J88" s="35"/>
      <c r="K88" s="39"/>
      <c r="L88" s="39"/>
      <c r="M88" s="39"/>
      <c r="N88" s="39"/>
      <c r="O88" s="39"/>
      <c r="P88" s="39"/>
      <c r="Q88" s="39"/>
      <c r="R88" s="39"/>
      <c r="S88" s="39"/>
      <c r="T88" s="39"/>
      <c r="U88" s="39"/>
      <c r="V88" s="40"/>
      <c r="W88" s="40"/>
      <c r="X88" s="40"/>
      <c r="Y88" s="40"/>
      <c r="Z88" s="40"/>
      <c r="AA88" s="40"/>
      <c r="AE88" s="65"/>
      <c r="AF88" s="65"/>
      <c r="AG88" s="65"/>
      <c r="AH88" s="65"/>
      <c r="AI88" s="65"/>
      <c r="AJ88" s="65"/>
      <c r="AK88" s="65"/>
      <c r="AL88" s="65"/>
      <c r="AM88" s="65"/>
      <c r="AN88" s="65"/>
      <c r="AO88" s="65"/>
      <c r="AP88" s="65"/>
      <c r="AQ88" s="65"/>
      <c r="AR88" s="65"/>
      <c r="AS88" s="65"/>
      <c r="AT88" s="65"/>
    </row>
    <row r="89" spans="2:46" s="32" customFormat="1" x14ac:dyDescent="0.2">
      <c r="B89" s="44"/>
      <c r="C89" s="44"/>
      <c r="D89" s="35"/>
      <c r="E89" s="35"/>
      <c r="F89" s="35"/>
      <c r="G89" s="35"/>
      <c r="H89" s="35"/>
      <c r="I89" s="35"/>
      <c r="J89" s="35"/>
      <c r="K89" s="39"/>
      <c r="L89" s="39"/>
      <c r="M89" s="39"/>
      <c r="N89" s="39"/>
      <c r="O89" s="39"/>
      <c r="P89" s="39"/>
      <c r="Q89" s="39"/>
      <c r="R89" s="39"/>
      <c r="S89" s="39"/>
      <c r="T89" s="39"/>
      <c r="U89" s="39"/>
      <c r="V89" s="40"/>
      <c r="W89" s="40"/>
      <c r="X89" s="40"/>
      <c r="Y89" s="40"/>
      <c r="Z89" s="40"/>
      <c r="AA89" s="40"/>
      <c r="AE89" s="65"/>
      <c r="AF89" s="65"/>
      <c r="AG89" s="65"/>
      <c r="AH89" s="65"/>
      <c r="AI89" s="65"/>
      <c r="AJ89" s="65"/>
      <c r="AK89" s="65"/>
      <c r="AL89" s="65"/>
      <c r="AM89" s="65"/>
      <c r="AN89" s="65"/>
      <c r="AO89" s="65"/>
      <c r="AP89" s="65"/>
      <c r="AQ89" s="65"/>
      <c r="AR89" s="65"/>
      <c r="AS89" s="65"/>
      <c r="AT89" s="65"/>
    </row>
    <row r="90" spans="2:46" s="32" customFormat="1" x14ac:dyDescent="0.2">
      <c r="B90" s="44"/>
      <c r="C90" s="44"/>
      <c r="D90" s="35"/>
      <c r="E90" s="35"/>
      <c r="F90" s="35"/>
      <c r="G90" s="35"/>
      <c r="H90" s="35"/>
      <c r="I90" s="35"/>
      <c r="J90" s="35"/>
      <c r="K90" s="39"/>
      <c r="L90" s="39"/>
      <c r="M90" s="39"/>
      <c r="N90" s="39"/>
      <c r="O90" s="39"/>
      <c r="P90" s="39"/>
      <c r="Q90" s="39"/>
      <c r="R90" s="39"/>
      <c r="S90" s="39"/>
      <c r="T90" s="39"/>
      <c r="U90" s="39"/>
      <c r="V90" s="40"/>
      <c r="W90" s="40"/>
      <c r="X90" s="40"/>
      <c r="Y90" s="40"/>
      <c r="Z90" s="40"/>
      <c r="AA90" s="40"/>
      <c r="AE90" s="65"/>
      <c r="AF90" s="65"/>
      <c r="AG90" s="65"/>
      <c r="AH90" s="65"/>
      <c r="AI90" s="65"/>
      <c r="AJ90" s="65"/>
      <c r="AK90" s="65"/>
      <c r="AL90" s="65"/>
      <c r="AM90" s="65"/>
      <c r="AN90" s="65"/>
      <c r="AO90" s="65"/>
      <c r="AP90" s="65"/>
      <c r="AQ90" s="65"/>
      <c r="AR90" s="65"/>
      <c r="AS90" s="65"/>
      <c r="AT90" s="65"/>
    </row>
    <row r="91" spans="2:46" s="32" customFormat="1" x14ac:dyDescent="0.2">
      <c r="B91" s="44"/>
      <c r="C91" s="44"/>
      <c r="D91" s="35"/>
      <c r="E91" s="35"/>
      <c r="F91" s="35"/>
      <c r="G91" s="35"/>
      <c r="H91" s="35"/>
      <c r="I91" s="35"/>
      <c r="J91" s="35"/>
      <c r="K91" s="39"/>
      <c r="L91" s="39"/>
      <c r="M91" s="39"/>
      <c r="N91" s="39"/>
      <c r="O91" s="39"/>
      <c r="P91" s="39"/>
      <c r="Q91" s="39"/>
      <c r="R91" s="39"/>
      <c r="S91" s="39"/>
      <c r="T91" s="39"/>
      <c r="U91" s="39"/>
      <c r="V91" s="40"/>
      <c r="W91" s="40"/>
      <c r="X91" s="40"/>
      <c r="Y91" s="40"/>
      <c r="Z91" s="40"/>
      <c r="AA91" s="40"/>
      <c r="AE91" s="65"/>
      <c r="AF91" s="65"/>
      <c r="AG91" s="65"/>
      <c r="AH91" s="65"/>
      <c r="AI91" s="65"/>
      <c r="AJ91" s="65"/>
      <c r="AK91" s="65"/>
      <c r="AL91" s="65"/>
      <c r="AM91" s="65"/>
      <c r="AN91" s="65"/>
      <c r="AO91" s="65"/>
      <c r="AP91" s="65"/>
      <c r="AQ91" s="65"/>
      <c r="AR91" s="65"/>
      <c r="AS91" s="65"/>
      <c r="AT91" s="65"/>
    </row>
    <row r="92" spans="2:46" s="32" customFormat="1" x14ac:dyDescent="0.2">
      <c r="B92" s="44"/>
      <c r="C92" s="44"/>
      <c r="D92" s="35"/>
      <c r="E92" s="35"/>
      <c r="F92" s="35"/>
      <c r="G92" s="35"/>
      <c r="H92" s="35"/>
      <c r="I92" s="35"/>
      <c r="J92" s="35"/>
      <c r="K92" s="39"/>
      <c r="L92" s="39"/>
      <c r="M92" s="39"/>
      <c r="N92" s="39"/>
      <c r="O92" s="39"/>
      <c r="P92" s="39"/>
      <c r="Q92" s="39"/>
      <c r="R92" s="39"/>
      <c r="S92" s="39"/>
      <c r="T92" s="39"/>
      <c r="U92" s="39"/>
      <c r="V92" s="40"/>
      <c r="W92" s="40"/>
      <c r="X92" s="40"/>
      <c r="Y92" s="40"/>
      <c r="Z92" s="40"/>
      <c r="AA92" s="40"/>
      <c r="AE92" s="65"/>
      <c r="AF92" s="65"/>
      <c r="AG92" s="65"/>
      <c r="AH92" s="65"/>
      <c r="AI92" s="65"/>
      <c r="AJ92" s="65"/>
      <c r="AK92" s="65"/>
      <c r="AL92" s="65"/>
      <c r="AM92" s="65"/>
      <c r="AN92" s="65"/>
      <c r="AO92" s="65"/>
      <c r="AP92" s="65"/>
      <c r="AQ92" s="65"/>
      <c r="AR92" s="65"/>
      <c r="AS92" s="65"/>
      <c r="AT92" s="65"/>
    </row>
    <row r="93" spans="2:46" s="32" customFormat="1" x14ac:dyDescent="0.2">
      <c r="B93" s="44"/>
      <c r="C93" s="44"/>
      <c r="D93" s="35"/>
      <c r="E93" s="35"/>
      <c r="F93" s="35"/>
      <c r="G93" s="35"/>
      <c r="H93" s="35"/>
      <c r="I93" s="35"/>
      <c r="J93" s="35"/>
      <c r="K93" s="39"/>
      <c r="L93" s="39"/>
      <c r="M93" s="39"/>
      <c r="N93" s="39"/>
      <c r="O93" s="39"/>
      <c r="P93" s="39"/>
      <c r="Q93" s="39"/>
      <c r="R93" s="39"/>
      <c r="S93" s="39"/>
      <c r="T93" s="39"/>
      <c r="U93" s="39"/>
      <c r="V93" s="40"/>
      <c r="W93" s="40"/>
      <c r="X93" s="40"/>
      <c r="Y93" s="40"/>
      <c r="Z93" s="40"/>
      <c r="AA93" s="40"/>
      <c r="AE93" s="65"/>
      <c r="AF93" s="65"/>
      <c r="AG93" s="65"/>
      <c r="AH93" s="65"/>
      <c r="AI93" s="65"/>
      <c r="AJ93" s="65"/>
      <c r="AK93" s="65"/>
      <c r="AL93" s="65"/>
      <c r="AM93" s="65"/>
      <c r="AN93" s="65"/>
      <c r="AO93" s="65"/>
      <c r="AP93" s="65"/>
      <c r="AQ93" s="65"/>
      <c r="AR93" s="65"/>
      <c r="AS93" s="65"/>
      <c r="AT93" s="65"/>
    </row>
    <row r="94" spans="2:46" s="32" customFormat="1" x14ac:dyDescent="0.2">
      <c r="B94" s="44"/>
      <c r="C94" s="44"/>
      <c r="D94" s="35"/>
      <c r="E94" s="35"/>
      <c r="F94" s="35"/>
      <c r="G94" s="35"/>
      <c r="H94" s="35"/>
      <c r="I94" s="35"/>
      <c r="J94" s="35"/>
      <c r="K94" s="39"/>
      <c r="L94" s="39"/>
      <c r="M94" s="39"/>
      <c r="N94" s="39"/>
      <c r="O94" s="39"/>
      <c r="P94" s="39"/>
      <c r="Q94" s="39"/>
      <c r="R94" s="39"/>
      <c r="S94" s="39"/>
      <c r="T94" s="39"/>
      <c r="U94" s="39"/>
      <c r="V94" s="40"/>
      <c r="W94" s="40"/>
      <c r="X94" s="40"/>
      <c r="Y94" s="40"/>
      <c r="Z94" s="40"/>
      <c r="AA94" s="40"/>
      <c r="AE94" s="65"/>
      <c r="AF94" s="65"/>
      <c r="AG94" s="65"/>
      <c r="AH94" s="65"/>
      <c r="AI94" s="65"/>
      <c r="AJ94" s="65"/>
      <c r="AK94" s="65"/>
      <c r="AL94" s="65"/>
      <c r="AM94" s="65"/>
      <c r="AN94" s="65"/>
      <c r="AO94" s="65"/>
      <c r="AP94" s="65"/>
      <c r="AQ94" s="65"/>
      <c r="AR94" s="65"/>
      <c r="AS94" s="65"/>
      <c r="AT94" s="65"/>
    </row>
    <row r="95" spans="2:46" s="32" customFormat="1" x14ac:dyDescent="0.2">
      <c r="B95" s="44"/>
      <c r="C95" s="44"/>
      <c r="D95" s="35"/>
      <c r="E95" s="35"/>
      <c r="F95" s="35"/>
      <c r="G95" s="35"/>
      <c r="H95" s="35"/>
      <c r="I95" s="35"/>
      <c r="J95" s="35"/>
      <c r="K95" s="39"/>
      <c r="L95" s="39"/>
      <c r="M95" s="39"/>
      <c r="N95" s="39"/>
      <c r="O95" s="39"/>
      <c r="P95" s="39"/>
      <c r="Q95" s="39"/>
      <c r="R95" s="39"/>
      <c r="S95" s="39"/>
      <c r="T95" s="39"/>
      <c r="U95" s="39"/>
      <c r="V95" s="40"/>
      <c r="W95" s="40"/>
      <c r="X95" s="40"/>
      <c r="Y95" s="40"/>
      <c r="Z95" s="40"/>
      <c r="AA95" s="40"/>
      <c r="AE95" s="65"/>
      <c r="AF95" s="65"/>
      <c r="AG95" s="65"/>
      <c r="AH95" s="65"/>
      <c r="AI95" s="65"/>
      <c r="AJ95" s="65"/>
      <c r="AK95" s="65"/>
      <c r="AL95" s="65"/>
      <c r="AM95" s="65"/>
      <c r="AN95" s="65"/>
      <c r="AO95" s="65"/>
      <c r="AP95" s="65"/>
      <c r="AQ95" s="65"/>
      <c r="AR95" s="65"/>
      <c r="AS95" s="65"/>
      <c r="AT95" s="65"/>
    </row>
    <row r="96" spans="2:46" s="32" customFormat="1" x14ac:dyDescent="0.2">
      <c r="B96" s="44"/>
      <c r="C96" s="44"/>
      <c r="D96" s="35"/>
      <c r="E96" s="35"/>
      <c r="F96" s="35"/>
      <c r="G96" s="35"/>
      <c r="H96" s="35"/>
      <c r="I96" s="35"/>
      <c r="J96" s="35"/>
      <c r="K96" s="39"/>
      <c r="L96" s="39"/>
      <c r="M96" s="39"/>
      <c r="N96" s="39"/>
      <c r="O96" s="39"/>
      <c r="P96" s="39"/>
      <c r="Q96" s="39"/>
      <c r="R96" s="39"/>
      <c r="S96" s="39"/>
      <c r="T96" s="39"/>
      <c r="U96" s="39"/>
      <c r="V96" s="40"/>
      <c r="W96" s="40"/>
      <c r="X96" s="40"/>
      <c r="Y96" s="40"/>
      <c r="Z96" s="40"/>
      <c r="AA96" s="40"/>
      <c r="AE96" s="65"/>
      <c r="AF96" s="65"/>
      <c r="AG96" s="65"/>
      <c r="AH96" s="65"/>
      <c r="AI96" s="65"/>
      <c r="AJ96" s="65"/>
      <c r="AK96" s="65"/>
      <c r="AL96" s="65"/>
      <c r="AM96" s="65"/>
      <c r="AN96" s="65"/>
      <c r="AO96" s="65"/>
      <c r="AP96" s="65"/>
      <c r="AQ96" s="65"/>
      <c r="AR96" s="65"/>
      <c r="AS96" s="65"/>
      <c r="AT96" s="65"/>
    </row>
    <row r="97" spans="2:46" s="32" customFormat="1" x14ac:dyDescent="0.2">
      <c r="B97" s="44"/>
      <c r="C97" s="44"/>
      <c r="D97" s="35"/>
      <c r="E97" s="35"/>
      <c r="F97" s="35"/>
      <c r="G97" s="35"/>
      <c r="H97" s="35"/>
      <c r="I97" s="35"/>
      <c r="J97" s="35"/>
      <c r="K97" s="39"/>
      <c r="L97" s="39"/>
      <c r="M97" s="39"/>
      <c r="N97" s="39"/>
      <c r="O97" s="39"/>
      <c r="P97" s="39"/>
      <c r="Q97" s="39"/>
      <c r="R97" s="39"/>
      <c r="S97" s="39"/>
      <c r="T97" s="39"/>
      <c r="U97" s="39"/>
      <c r="V97" s="40"/>
      <c r="W97" s="40"/>
      <c r="X97" s="40"/>
      <c r="Y97" s="40"/>
      <c r="Z97" s="40"/>
      <c r="AA97" s="40"/>
      <c r="AE97" s="65"/>
      <c r="AF97" s="65"/>
      <c r="AG97" s="65"/>
      <c r="AH97" s="65"/>
      <c r="AI97" s="65"/>
      <c r="AJ97" s="65"/>
      <c r="AK97" s="65"/>
      <c r="AL97" s="65"/>
      <c r="AM97" s="65"/>
      <c r="AN97" s="65"/>
      <c r="AO97" s="65"/>
      <c r="AP97" s="65"/>
      <c r="AQ97" s="65"/>
      <c r="AR97" s="65"/>
      <c r="AS97" s="65"/>
      <c r="AT97" s="65"/>
    </row>
    <row r="98" spans="2:46" s="32" customFormat="1" x14ac:dyDescent="0.2">
      <c r="B98" s="44"/>
      <c r="C98" s="44"/>
      <c r="D98" s="35"/>
      <c r="E98" s="35"/>
      <c r="F98" s="35"/>
      <c r="G98" s="35"/>
      <c r="H98" s="35"/>
      <c r="I98" s="35"/>
      <c r="J98" s="35"/>
      <c r="K98" s="39"/>
      <c r="L98" s="39"/>
      <c r="M98" s="39"/>
      <c r="N98" s="39"/>
      <c r="O98" s="39"/>
      <c r="P98" s="39"/>
      <c r="Q98" s="39"/>
      <c r="R98" s="39"/>
      <c r="S98" s="39"/>
      <c r="T98" s="39"/>
      <c r="U98" s="39"/>
      <c r="V98" s="40"/>
      <c r="W98" s="40"/>
      <c r="X98" s="40"/>
      <c r="Y98" s="40"/>
      <c r="Z98" s="40"/>
      <c r="AA98" s="40"/>
      <c r="AE98" s="65"/>
      <c r="AF98" s="65"/>
      <c r="AG98" s="65"/>
      <c r="AH98" s="65"/>
      <c r="AI98" s="65"/>
      <c r="AJ98" s="65"/>
      <c r="AK98" s="65"/>
      <c r="AL98" s="65"/>
      <c r="AM98" s="65"/>
      <c r="AN98" s="65"/>
      <c r="AO98" s="65"/>
      <c r="AP98" s="65"/>
      <c r="AQ98" s="65"/>
      <c r="AR98" s="65"/>
      <c r="AS98" s="65"/>
      <c r="AT98" s="65"/>
    </row>
    <row r="99" spans="2:46" s="32" customFormat="1" x14ac:dyDescent="0.2">
      <c r="B99" s="44"/>
      <c r="C99" s="44"/>
      <c r="D99" s="35"/>
      <c r="E99" s="35"/>
      <c r="F99" s="35"/>
      <c r="G99" s="35"/>
      <c r="H99" s="35"/>
      <c r="I99" s="35"/>
      <c r="J99" s="35"/>
      <c r="K99" s="39"/>
      <c r="L99" s="39"/>
      <c r="M99" s="39"/>
      <c r="N99" s="39"/>
      <c r="O99" s="39"/>
      <c r="P99" s="39"/>
      <c r="Q99" s="39"/>
      <c r="R99" s="39"/>
      <c r="S99" s="39"/>
      <c r="T99" s="39"/>
      <c r="U99" s="39"/>
      <c r="V99" s="40"/>
      <c r="W99" s="40"/>
      <c r="X99" s="40"/>
      <c r="Y99" s="40"/>
      <c r="Z99" s="40"/>
      <c r="AA99" s="40"/>
      <c r="AE99" s="65"/>
      <c r="AF99" s="65"/>
      <c r="AG99" s="65"/>
      <c r="AH99" s="65"/>
      <c r="AI99" s="65"/>
      <c r="AJ99" s="65"/>
      <c r="AK99" s="65"/>
      <c r="AL99" s="65"/>
      <c r="AM99" s="65"/>
      <c r="AN99" s="65"/>
      <c r="AO99" s="65"/>
      <c r="AP99" s="65"/>
      <c r="AQ99" s="65"/>
      <c r="AR99" s="65"/>
      <c r="AS99" s="65"/>
      <c r="AT99" s="65"/>
    </row>
    <row r="100" spans="2:46" s="32" customFormat="1" x14ac:dyDescent="0.2">
      <c r="B100" s="44"/>
      <c r="C100" s="44"/>
      <c r="D100" s="35"/>
      <c r="E100" s="35"/>
      <c r="F100" s="35"/>
      <c r="G100" s="35"/>
      <c r="H100" s="35"/>
      <c r="I100" s="35"/>
      <c r="J100" s="35"/>
      <c r="K100" s="39"/>
      <c r="L100" s="39"/>
      <c r="M100" s="39"/>
      <c r="N100" s="39"/>
      <c r="O100" s="39"/>
      <c r="P100" s="39"/>
      <c r="Q100" s="39"/>
      <c r="R100" s="39"/>
      <c r="S100" s="39"/>
      <c r="T100" s="39"/>
      <c r="U100" s="39"/>
      <c r="V100" s="40"/>
      <c r="W100" s="40"/>
      <c r="X100" s="40"/>
      <c r="Y100" s="40"/>
      <c r="Z100" s="40"/>
      <c r="AA100" s="40"/>
      <c r="AE100" s="65"/>
      <c r="AF100" s="65"/>
      <c r="AG100" s="65"/>
      <c r="AH100" s="65"/>
      <c r="AI100" s="65"/>
      <c r="AJ100" s="65"/>
      <c r="AK100" s="65"/>
      <c r="AL100" s="65"/>
      <c r="AM100" s="65"/>
      <c r="AN100" s="65"/>
      <c r="AO100" s="65"/>
      <c r="AP100" s="65"/>
      <c r="AQ100" s="65"/>
      <c r="AR100" s="65"/>
      <c r="AS100" s="65"/>
      <c r="AT100" s="65"/>
    </row>
    <row r="101" spans="2:46" s="32" customFormat="1" x14ac:dyDescent="0.2">
      <c r="B101" s="44"/>
      <c r="C101" s="44"/>
      <c r="D101" s="35"/>
      <c r="E101" s="35"/>
      <c r="F101" s="35"/>
      <c r="G101" s="35"/>
      <c r="H101" s="35"/>
      <c r="I101" s="35"/>
      <c r="J101" s="35"/>
      <c r="K101" s="39"/>
      <c r="L101" s="39"/>
      <c r="M101" s="39"/>
      <c r="N101" s="39"/>
      <c r="O101" s="39"/>
      <c r="P101" s="39"/>
      <c r="Q101" s="39"/>
      <c r="R101" s="39"/>
      <c r="S101" s="39"/>
      <c r="T101" s="39"/>
      <c r="U101" s="39"/>
      <c r="V101" s="40"/>
      <c r="W101" s="40"/>
      <c r="X101" s="40"/>
      <c r="Y101" s="40"/>
      <c r="Z101" s="40"/>
      <c r="AA101" s="40"/>
      <c r="AE101" s="65"/>
      <c r="AF101" s="65"/>
      <c r="AG101" s="65"/>
      <c r="AH101" s="65"/>
      <c r="AI101" s="65"/>
      <c r="AJ101" s="65"/>
      <c r="AK101" s="65"/>
      <c r="AL101" s="65"/>
      <c r="AM101" s="65"/>
      <c r="AN101" s="65"/>
      <c r="AO101" s="65"/>
      <c r="AP101" s="65"/>
      <c r="AQ101" s="65"/>
      <c r="AR101" s="65"/>
      <c r="AS101" s="65"/>
      <c r="AT101" s="65"/>
    </row>
    <row r="102" spans="2:46" s="32" customFormat="1" x14ac:dyDescent="0.2">
      <c r="B102" s="44"/>
      <c r="C102" s="44"/>
      <c r="D102" s="35"/>
      <c r="E102" s="35"/>
      <c r="F102" s="35"/>
      <c r="G102" s="35"/>
      <c r="H102" s="35"/>
      <c r="I102" s="35"/>
      <c r="J102" s="35"/>
      <c r="K102" s="39"/>
      <c r="L102" s="39"/>
      <c r="M102" s="39"/>
      <c r="N102" s="39"/>
      <c r="O102" s="39"/>
      <c r="P102" s="39"/>
      <c r="Q102" s="39"/>
      <c r="R102" s="39"/>
      <c r="S102" s="39"/>
      <c r="T102" s="39"/>
      <c r="U102" s="39"/>
      <c r="V102" s="40"/>
      <c r="W102" s="40"/>
      <c r="X102" s="40"/>
      <c r="Y102" s="40"/>
      <c r="Z102" s="40"/>
      <c r="AA102" s="40"/>
      <c r="AE102" s="65"/>
      <c r="AF102" s="65"/>
      <c r="AG102" s="65"/>
      <c r="AH102" s="65"/>
      <c r="AI102" s="65"/>
      <c r="AJ102" s="65"/>
      <c r="AK102" s="65"/>
      <c r="AL102" s="65"/>
      <c r="AM102" s="65"/>
      <c r="AN102" s="65"/>
      <c r="AO102" s="65"/>
      <c r="AP102" s="65"/>
      <c r="AQ102" s="65"/>
      <c r="AR102" s="65"/>
      <c r="AS102" s="65"/>
      <c r="AT102" s="65"/>
    </row>
    <row r="103" spans="2:46" s="32" customFormat="1" x14ac:dyDescent="0.2">
      <c r="B103" s="44"/>
      <c r="C103" s="44"/>
      <c r="D103" s="35"/>
      <c r="E103" s="35"/>
      <c r="F103" s="35"/>
      <c r="G103" s="35"/>
      <c r="H103" s="35"/>
      <c r="I103" s="35"/>
      <c r="J103" s="35"/>
      <c r="K103" s="39"/>
      <c r="L103" s="39"/>
      <c r="M103" s="39"/>
      <c r="N103" s="39"/>
      <c r="O103" s="39"/>
      <c r="P103" s="39"/>
      <c r="Q103" s="39"/>
      <c r="R103" s="39"/>
      <c r="S103" s="39"/>
      <c r="T103" s="39"/>
      <c r="U103" s="39"/>
      <c r="V103" s="40"/>
      <c r="W103" s="40"/>
      <c r="X103" s="40"/>
      <c r="Y103" s="40"/>
      <c r="Z103" s="40"/>
      <c r="AA103" s="40"/>
      <c r="AE103" s="65"/>
      <c r="AF103" s="65"/>
      <c r="AG103" s="65"/>
      <c r="AH103" s="65"/>
      <c r="AI103" s="65"/>
      <c r="AJ103" s="65"/>
      <c r="AK103" s="65"/>
      <c r="AL103" s="65"/>
      <c r="AM103" s="65"/>
      <c r="AN103" s="65"/>
      <c r="AO103" s="65"/>
      <c r="AP103" s="65"/>
      <c r="AQ103" s="65"/>
      <c r="AR103" s="65"/>
      <c r="AS103" s="65"/>
      <c r="AT103" s="65"/>
    </row>
    <row r="104" spans="2:46" s="32" customFormat="1" x14ac:dyDescent="0.2">
      <c r="B104" s="44"/>
      <c r="C104" s="44"/>
      <c r="D104" s="35"/>
      <c r="E104" s="35"/>
      <c r="F104" s="35"/>
      <c r="G104" s="35"/>
      <c r="H104" s="35"/>
      <c r="I104" s="35"/>
      <c r="J104" s="35"/>
      <c r="K104" s="39"/>
      <c r="L104" s="39"/>
      <c r="M104" s="39"/>
      <c r="N104" s="39"/>
      <c r="O104" s="39"/>
      <c r="P104" s="39"/>
      <c r="Q104" s="39"/>
      <c r="R104" s="39"/>
      <c r="S104" s="39"/>
      <c r="T104" s="39"/>
      <c r="U104" s="39"/>
      <c r="V104" s="40"/>
      <c r="W104" s="40"/>
      <c r="X104" s="40"/>
      <c r="Y104" s="40"/>
      <c r="Z104" s="40"/>
      <c r="AA104" s="40"/>
      <c r="AE104" s="65"/>
      <c r="AF104" s="65"/>
      <c r="AG104" s="65"/>
      <c r="AH104" s="65"/>
      <c r="AI104" s="65"/>
      <c r="AJ104" s="65"/>
      <c r="AK104" s="65"/>
      <c r="AL104" s="65"/>
      <c r="AM104" s="65"/>
      <c r="AN104" s="65"/>
      <c r="AO104" s="65"/>
      <c r="AP104" s="65"/>
      <c r="AQ104" s="65"/>
      <c r="AR104" s="65"/>
      <c r="AS104" s="65"/>
      <c r="AT104" s="65"/>
    </row>
    <row r="105" spans="2:46" s="32" customFormat="1" x14ac:dyDescent="0.2">
      <c r="B105" s="44"/>
      <c r="C105" s="44"/>
      <c r="D105" s="35"/>
      <c r="E105" s="35"/>
      <c r="F105" s="35"/>
      <c r="G105" s="35"/>
      <c r="H105" s="35"/>
      <c r="I105" s="35"/>
      <c r="J105" s="35"/>
      <c r="K105" s="39"/>
      <c r="L105" s="39"/>
      <c r="M105" s="39"/>
      <c r="N105" s="39"/>
      <c r="O105" s="39"/>
      <c r="P105" s="39"/>
      <c r="Q105" s="39"/>
      <c r="R105" s="39"/>
      <c r="S105" s="39"/>
      <c r="T105" s="39"/>
      <c r="U105" s="39"/>
      <c r="V105" s="40"/>
      <c r="W105" s="40"/>
      <c r="X105" s="40"/>
      <c r="Y105" s="40"/>
      <c r="Z105" s="40"/>
      <c r="AA105" s="40"/>
      <c r="AE105" s="65"/>
      <c r="AF105" s="65"/>
      <c r="AG105" s="65"/>
      <c r="AH105" s="65"/>
      <c r="AI105" s="65"/>
      <c r="AJ105" s="65"/>
      <c r="AK105" s="65"/>
      <c r="AL105" s="65"/>
      <c r="AM105" s="65"/>
      <c r="AN105" s="65"/>
      <c r="AO105" s="65"/>
      <c r="AP105" s="65"/>
      <c r="AQ105" s="65"/>
      <c r="AR105" s="65"/>
      <c r="AS105" s="65"/>
      <c r="AT105" s="65"/>
    </row>
    <row r="106" spans="2:46" s="32" customFormat="1" x14ac:dyDescent="0.2">
      <c r="B106" s="44"/>
      <c r="C106" s="44"/>
      <c r="D106" s="35"/>
      <c r="E106" s="35"/>
      <c r="F106" s="35"/>
      <c r="G106" s="35"/>
      <c r="H106" s="35"/>
      <c r="I106" s="35"/>
      <c r="J106" s="35"/>
      <c r="K106" s="39"/>
      <c r="L106" s="39"/>
      <c r="M106" s="39"/>
      <c r="N106" s="39"/>
      <c r="O106" s="39"/>
      <c r="P106" s="39"/>
      <c r="Q106" s="39"/>
      <c r="R106" s="39"/>
      <c r="S106" s="39"/>
      <c r="T106" s="39"/>
      <c r="U106" s="39"/>
      <c r="V106" s="40"/>
      <c r="W106" s="40"/>
      <c r="X106" s="40"/>
      <c r="Y106" s="40"/>
      <c r="Z106" s="40"/>
      <c r="AA106" s="40"/>
      <c r="AE106" s="65"/>
      <c r="AF106" s="65"/>
      <c r="AG106" s="65"/>
      <c r="AH106" s="65"/>
      <c r="AI106" s="65"/>
      <c r="AJ106" s="65"/>
      <c r="AK106" s="65"/>
      <c r="AL106" s="65"/>
      <c r="AM106" s="65"/>
      <c r="AN106" s="65"/>
      <c r="AO106" s="65"/>
      <c r="AP106" s="65"/>
      <c r="AQ106" s="65"/>
      <c r="AR106" s="65"/>
      <c r="AS106" s="65"/>
      <c r="AT106" s="65"/>
    </row>
    <row r="107" spans="2:46" s="32" customFormat="1" x14ac:dyDescent="0.2">
      <c r="B107" s="44"/>
      <c r="C107" s="44"/>
      <c r="D107" s="35"/>
      <c r="E107" s="35"/>
      <c r="F107" s="35"/>
      <c r="G107" s="35"/>
      <c r="H107" s="35"/>
      <c r="I107" s="35"/>
      <c r="J107" s="35"/>
      <c r="K107" s="39"/>
      <c r="L107" s="39"/>
      <c r="M107" s="39"/>
      <c r="N107" s="39"/>
      <c r="O107" s="39"/>
      <c r="P107" s="39"/>
      <c r="Q107" s="39"/>
      <c r="R107" s="39"/>
      <c r="S107" s="39"/>
      <c r="T107" s="39"/>
      <c r="U107" s="39"/>
      <c r="V107" s="40"/>
      <c r="W107" s="40"/>
      <c r="X107" s="40"/>
      <c r="Y107" s="40"/>
      <c r="Z107" s="40"/>
      <c r="AA107" s="40"/>
      <c r="AE107" s="65"/>
      <c r="AF107" s="65"/>
      <c r="AG107" s="65"/>
      <c r="AH107" s="65"/>
      <c r="AI107" s="65"/>
      <c r="AJ107" s="65"/>
      <c r="AK107" s="65"/>
      <c r="AL107" s="65"/>
      <c r="AM107" s="65"/>
      <c r="AN107" s="65"/>
      <c r="AO107" s="65"/>
      <c r="AP107" s="65"/>
      <c r="AQ107" s="65"/>
      <c r="AR107" s="65"/>
      <c r="AS107" s="65"/>
      <c r="AT107" s="65"/>
    </row>
    <row r="108" spans="2:46" s="32" customFormat="1" x14ac:dyDescent="0.2">
      <c r="B108" s="44"/>
      <c r="C108" s="44"/>
      <c r="D108" s="35"/>
      <c r="E108" s="35"/>
      <c r="F108" s="35"/>
      <c r="G108" s="35"/>
      <c r="H108" s="35"/>
      <c r="I108" s="35"/>
      <c r="J108" s="35"/>
      <c r="K108" s="39"/>
      <c r="L108" s="39"/>
      <c r="M108" s="39"/>
      <c r="N108" s="39"/>
      <c r="O108" s="39"/>
      <c r="P108" s="39"/>
      <c r="Q108" s="39"/>
      <c r="R108" s="39"/>
      <c r="S108" s="39"/>
      <c r="T108" s="39"/>
      <c r="U108" s="39"/>
      <c r="V108" s="40"/>
      <c r="W108" s="40"/>
      <c r="X108" s="40"/>
      <c r="Y108" s="40"/>
      <c r="Z108" s="40"/>
      <c r="AA108" s="40"/>
      <c r="AE108" s="65"/>
      <c r="AF108" s="65"/>
      <c r="AG108" s="65"/>
      <c r="AH108" s="65"/>
      <c r="AI108" s="65"/>
      <c r="AJ108" s="65"/>
      <c r="AK108" s="65"/>
      <c r="AL108" s="65"/>
      <c r="AM108" s="65"/>
      <c r="AN108" s="65"/>
      <c r="AO108" s="65"/>
      <c r="AP108" s="65"/>
      <c r="AQ108" s="65"/>
      <c r="AR108" s="65"/>
      <c r="AS108" s="65"/>
      <c r="AT108" s="65"/>
    </row>
    <row r="109" spans="2:46" s="32" customFormat="1" x14ac:dyDescent="0.2">
      <c r="B109" s="44"/>
      <c r="C109" s="44"/>
      <c r="D109" s="35"/>
      <c r="E109" s="35"/>
      <c r="F109" s="35"/>
      <c r="G109" s="35"/>
      <c r="H109" s="35"/>
      <c r="I109" s="35"/>
      <c r="J109" s="35"/>
      <c r="K109" s="39"/>
      <c r="L109" s="39"/>
      <c r="M109" s="39"/>
      <c r="N109" s="39"/>
      <c r="O109" s="39"/>
      <c r="P109" s="39"/>
      <c r="Q109" s="39"/>
      <c r="R109" s="39"/>
      <c r="S109" s="39"/>
      <c r="T109" s="39"/>
      <c r="U109" s="39"/>
      <c r="V109" s="40"/>
      <c r="W109" s="40"/>
      <c r="X109" s="40"/>
      <c r="Y109" s="40"/>
      <c r="Z109" s="40"/>
      <c r="AA109" s="40"/>
      <c r="AE109" s="65"/>
      <c r="AF109" s="65"/>
      <c r="AG109" s="65"/>
      <c r="AH109" s="65"/>
      <c r="AI109" s="65"/>
      <c r="AJ109" s="65"/>
      <c r="AK109" s="65"/>
      <c r="AL109" s="65"/>
      <c r="AM109" s="65"/>
      <c r="AN109" s="65"/>
      <c r="AO109" s="65"/>
      <c r="AP109" s="65"/>
      <c r="AQ109" s="65"/>
      <c r="AR109" s="65"/>
      <c r="AS109" s="65"/>
      <c r="AT109" s="65"/>
    </row>
    <row r="110" spans="2:46" s="32" customFormat="1" x14ac:dyDescent="0.2">
      <c r="B110" s="44"/>
      <c r="C110" s="44"/>
      <c r="D110" s="35"/>
      <c r="E110" s="35"/>
      <c r="F110" s="35"/>
      <c r="G110" s="35"/>
      <c r="H110" s="35"/>
      <c r="I110" s="35"/>
      <c r="J110" s="35"/>
      <c r="K110" s="39"/>
      <c r="L110" s="39"/>
      <c r="M110" s="39"/>
      <c r="N110" s="39"/>
      <c r="O110" s="39"/>
      <c r="P110" s="39"/>
      <c r="Q110" s="39"/>
      <c r="R110" s="39"/>
      <c r="S110" s="39"/>
      <c r="T110" s="39"/>
      <c r="U110" s="39"/>
      <c r="V110" s="40"/>
      <c r="W110" s="40"/>
      <c r="X110" s="40"/>
      <c r="Y110" s="40"/>
      <c r="Z110" s="40"/>
      <c r="AA110" s="40"/>
      <c r="AE110" s="65"/>
      <c r="AF110" s="65"/>
      <c r="AG110" s="65"/>
      <c r="AH110" s="65"/>
      <c r="AI110" s="65"/>
      <c r="AJ110" s="65"/>
      <c r="AK110" s="65"/>
      <c r="AL110" s="65"/>
      <c r="AM110" s="65"/>
      <c r="AN110" s="65"/>
      <c r="AO110" s="65"/>
      <c r="AP110" s="65"/>
      <c r="AQ110" s="65"/>
      <c r="AR110" s="65"/>
      <c r="AS110" s="65"/>
      <c r="AT110" s="65"/>
    </row>
    <row r="111" spans="2:46" s="32" customFormat="1" x14ac:dyDescent="0.2">
      <c r="B111" s="44"/>
      <c r="C111" s="44"/>
      <c r="D111" s="35"/>
      <c r="E111" s="35"/>
      <c r="F111" s="35"/>
      <c r="G111" s="35"/>
      <c r="H111" s="35"/>
      <c r="I111" s="35"/>
      <c r="J111" s="35"/>
      <c r="K111" s="39"/>
      <c r="L111" s="39"/>
      <c r="M111" s="39"/>
      <c r="N111" s="39"/>
      <c r="O111" s="39"/>
      <c r="P111" s="39"/>
      <c r="Q111" s="39"/>
      <c r="R111" s="39"/>
      <c r="S111" s="39"/>
      <c r="T111" s="39"/>
      <c r="U111" s="39"/>
      <c r="V111" s="40"/>
      <c r="W111" s="40"/>
      <c r="X111" s="40"/>
      <c r="Y111" s="40"/>
      <c r="Z111" s="40"/>
      <c r="AA111" s="40"/>
      <c r="AE111" s="65"/>
      <c r="AF111" s="65"/>
      <c r="AG111" s="65"/>
      <c r="AH111" s="65"/>
      <c r="AI111" s="65"/>
      <c r="AJ111" s="65"/>
      <c r="AK111" s="65"/>
      <c r="AL111" s="65"/>
      <c r="AM111" s="65"/>
      <c r="AN111" s="65"/>
      <c r="AO111" s="65"/>
      <c r="AP111" s="65"/>
      <c r="AQ111" s="65"/>
      <c r="AR111" s="65"/>
      <c r="AS111" s="65"/>
      <c r="AT111" s="65"/>
    </row>
    <row r="112" spans="2:46" s="32" customFormat="1" x14ac:dyDescent="0.2">
      <c r="B112" s="44"/>
      <c r="C112" s="44"/>
      <c r="D112" s="35"/>
      <c r="E112" s="35"/>
      <c r="F112" s="35"/>
      <c r="G112" s="35"/>
      <c r="H112" s="35"/>
      <c r="I112" s="35"/>
      <c r="J112" s="35"/>
      <c r="K112" s="39"/>
      <c r="L112" s="39"/>
      <c r="M112" s="39"/>
      <c r="N112" s="39"/>
      <c r="O112" s="39"/>
      <c r="P112" s="39"/>
      <c r="Q112" s="39"/>
      <c r="R112" s="39"/>
      <c r="S112" s="39"/>
      <c r="T112" s="39"/>
      <c r="U112" s="39"/>
      <c r="V112" s="40"/>
      <c r="W112" s="40"/>
      <c r="X112" s="40"/>
      <c r="Y112" s="40"/>
      <c r="Z112" s="40"/>
      <c r="AA112" s="40"/>
      <c r="AE112" s="65"/>
      <c r="AF112" s="65"/>
      <c r="AG112" s="65"/>
      <c r="AH112" s="65"/>
      <c r="AI112" s="65"/>
      <c r="AJ112" s="65"/>
      <c r="AK112" s="65"/>
      <c r="AL112" s="65"/>
      <c r="AM112" s="65"/>
      <c r="AN112" s="65"/>
      <c r="AO112" s="65"/>
      <c r="AP112" s="65"/>
      <c r="AQ112" s="65"/>
      <c r="AR112" s="65"/>
      <c r="AS112" s="65"/>
      <c r="AT112" s="65"/>
    </row>
    <row r="113" spans="2:46" s="32" customFormat="1" x14ac:dyDescent="0.2">
      <c r="B113" s="44"/>
      <c r="C113" s="44"/>
      <c r="D113" s="35"/>
      <c r="E113" s="35"/>
      <c r="F113" s="35"/>
      <c r="G113" s="35"/>
      <c r="H113" s="35"/>
      <c r="I113" s="35"/>
      <c r="J113" s="35"/>
      <c r="K113" s="39"/>
      <c r="L113" s="39"/>
      <c r="M113" s="39"/>
      <c r="N113" s="39"/>
      <c r="O113" s="39"/>
      <c r="P113" s="39"/>
      <c r="Q113" s="39"/>
      <c r="R113" s="39"/>
      <c r="S113" s="39"/>
      <c r="T113" s="39"/>
      <c r="U113" s="39"/>
      <c r="V113" s="40"/>
      <c r="W113" s="40"/>
      <c r="X113" s="40"/>
      <c r="Y113" s="40"/>
      <c r="Z113" s="40"/>
      <c r="AA113" s="40"/>
      <c r="AE113" s="65"/>
      <c r="AF113" s="65"/>
      <c r="AG113" s="65"/>
      <c r="AH113" s="65"/>
      <c r="AI113" s="65"/>
      <c r="AJ113" s="65"/>
      <c r="AK113" s="65"/>
      <c r="AL113" s="65"/>
      <c r="AM113" s="65"/>
      <c r="AN113" s="65"/>
      <c r="AO113" s="65"/>
      <c r="AP113" s="65"/>
      <c r="AQ113" s="65"/>
      <c r="AR113" s="65"/>
      <c r="AS113" s="65"/>
      <c r="AT113" s="65"/>
    </row>
    <row r="114" spans="2:46" s="32" customFormat="1" x14ac:dyDescent="0.2">
      <c r="B114" s="44"/>
      <c r="C114" s="44"/>
      <c r="D114" s="35"/>
      <c r="E114" s="35"/>
      <c r="F114" s="35"/>
      <c r="G114" s="35"/>
      <c r="H114" s="35"/>
      <c r="I114" s="35"/>
      <c r="J114" s="35"/>
      <c r="K114" s="39"/>
      <c r="L114" s="39"/>
      <c r="M114" s="39"/>
      <c r="N114" s="39"/>
      <c r="O114" s="39"/>
      <c r="P114" s="39"/>
      <c r="Q114" s="39"/>
      <c r="R114" s="39"/>
      <c r="S114" s="39"/>
      <c r="T114" s="39"/>
      <c r="U114" s="39"/>
      <c r="V114" s="40"/>
      <c r="W114" s="40"/>
      <c r="X114" s="40"/>
      <c r="Y114" s="40"/>
      <c r="Z114" s="40"/>
      <c r="AA114" s="40"/>
      <c r="AE114" s="65"/>
      <c r="AF114" s="65"/>
      <c r="AG114" s="65"/>
      <c r="AH114" s="65"/>
      <c r="AI114" s="65"/>
      <c r="AJ114" s="65"/>
      <c r="AK114" s="65"/>
      <c r="AL114" s="65"/>
      <c r="AM114" s="65"/>
      <c r="AN114" s="65"/>
      <c r="AO114" s="65"/>
      <c r="AP114" s="65"/>
      <c r="AQ114" s="65"/>
      <c r="AR114" s="65"/>
      <c r="AS114" s="65"/>
      <c r="AT114" s="65"/>
    </row>
    <row r="115" spans="2:46" s="32" customFormat="1" x14ac:dyDescent="0.2">
      <c r="B115" s="44"/>
      <c r="C115" s="44"/>
      <c r="D115" s="35"/>
      <c r="E115" s="35"/>
      <c r="F115" s="35"/>
      <c r="G115" s="35"/>
      <c r="H115" s="35"/>
      <c r="I115" s="35"/>
      <c r="J115" s="35"/>
      <c r="K115" s="39"/>
      <c r="L115" s="39"/>
      <c r="M115" s="39"/>
      <c r="N115" s="39"/>
      <c r="O115" s="39"/>
      <c r="P115" s="39"/>
      <c r="Q115" s="39"/>
      <c r="R115" s="39"/>
      <c r="S115" s="39"/>
      <c r="T115" s="39"/>
      <c r="U115" s="39"/>
      <c r="V115" s="40"/>
      <c r="W115" s="40"/>
      <c r="X115" s="40"/>
      <c r="Y115" s="40"/>
      <c r="Z115" s="40"/>
      <c r="AA115" s="40"/>
      <c r="AE115" s="65"/>
      <c r="AF115" s="65"/>
      <c r="AG115" s="65"/>
      <c r="AH115" s="65"/>
      <c r="AI115" s="65"/>
      <c r="AJ115" s="65"/>
      <c r="AK115" s="65"/>
      <c r="AL115" s="65"/>
      <c r="AM115" s="65"/>
      <c r="AN115" s="65"/>
      <c r="AO115" s="65"/>
      <c r="AP115" s="65"/>
      <c r="AQ115" s="65"/>
      <c r="AR115" s="65"/>
      <c r="AS115" s="65"/>
      <c r="AT115" s="65"/>
    </row>
    <row r="116" spans="2:46" s="32" customFormat="1" x14ac:dyDescent="0.2">
      <c r="B116" s="44"/>
      <c r="C116" s="44"/>
      <c r="D116" s="35"/>
      <c r="E116" s="35"/>
      <c r="F116" s="35"/>
      <c r="G116" s="35"/>
      <c r="H116" s="35"/>
      <c r="I116" s="35"/>
      <c r="J116" s="35"/>
      <c r="K116" s="39"/>
      <c r="L116" s="39"/>
      <c r="M116" s="39"/>
      <c r="N116" s="39"/>
      <c r="O116" s="39"/>
      <c r="P116" s="39"/>
      <c r="Q116" s="39"/>
      <c r="R116" s="39"/>
      <c r="S116" s="39"/>
      <c r="T116" s="39"/>
      <c r="U116" s="39"/>
      <c r="V116" s="40"/>
      <c r="W116" s="40"/>
      <c r="X116" s="40"/>
      <c r="Y116" s="40"/>
      <c r="Z116" s="40"/>
      <c r="AA116" s="40"/>
      <c r="AE116" s="65"/>
      <c r="AF116" s="65"/>
      <c r="AG116" s="65"/>
      <c r="AH116" s="65"/>
      <c r="AI116" s="65"/>
      <c r="AJ116" s="65"/>
      <c r="AK116" s="65"/>
      <c r="AL116" s="65"/>
      <c r="AM116" s="65"/>
      <c r="AN116" s="65"/>
      <c r="AO116" s="65"/>
      <c r="AP116" s="65"/>
      <c r="AQ116" s="65"/>
      <c r="AR116" s="65"/>
      <c r="AS116" s="65"/>
      <c r="AT116" s="65"/>
    </row>
    <row r="117" spans="2:46" s="32" customFormat="1" x14ac:dyDescent="0.2">
      <c r="B117" s="44"/>
      <c r="C117" s="44"/>
      <c r="D117" s="35"/>
      <c r="E117" s="35"/>
      <c r="F117" s="35"/>
      <c r="G117" s="35"/>
      <c r="H117" s="35"/>
      <c r="I117" s="35"/>
      <c r="J117" s="35"/>
      <c r="K117" s="39"/>
      <c r="L117" s="39"/>
      <c r="M117" s="39"/>
      <c r="N117" s="39"/>
      <c r="O117" s="39"/>
      <c r="P117" s="39"/>
      <c r="Q117" s="39"/>
      <c r="R117" s="39"/>
      <c r="S117" s="39"/>
      <c r="T117" s="39"/>
      <c r="U117" s="39"/>
      <c r="V117" s="40"/>
      <c r="W117" s="40"/>
      <c r="X117" s="40"/>
      <c r="Y117" s="40"/>
      <c r="Z117" s="40"/>
      <c r="AA117" s="40"/>
      <c r="AE117" s="65"/>
      <c r="AF117" s="65"/>
      <c r="AG117" s="65"/>
      <c r="AH117" s="65"/>
      <c r="AI117" s="65"/>
      <c r="AJ117" s="65"/>
      <c r="AK117" s="65"/>
      <c r="AL117" s="65"/>
      <c r="AM117" s="65"/>
      <c r="AN117" s="65"/>
      <c r="AO117" s="65"/>
      <c r="AP117" s="65"/>
      <c r="AQ117" s="65"/>
      <c r="AR117" s="65"/>
      <c r="AS117" s="65"/>
      <c r="AT117" s="65"/>
    </row>
    <row r="118" spans="2:46" s="32" customFormat="1" x14ac:dyDescent="0.2">
      <c r="B118" s="44"/>
      <c r="C118" s="44"/>
      <c r="D118" s="35"/>
      <c r="E118" s="35"/>
      <c r="F118" s="35"/>
      <c r="G118" s="35"/>
      <c r="H118" s="35"/>
      <c r="I118" s="35"/>
      <c r="J118" s="35"/>
      <c r="K118" s="39"/>
      <c r="L118" s="39"/>
      <c r="M118" s="39"/>
      <c r="N118" s="39"/>
      <c r="O118" s="39"/>
      <c r="P118" s="39"/>
      <c r="Q118" s="39"/>
      <c r="R118" s="39"/>
      <c r="S118" s="39"/>
      <c r="T118" s="39"/>
      <c r="U118" s="39"/>
      <c r="V118" s="40"/>
      <c r="W118" s="40"/>
      <c r="X118" s="40"/>
      <c r="Y118" s="40"/>
      <c r="Z118" s="40"/>
      <c r="AA118" s="40"/>
      <c r="AE118" s="65"/>
      <c r="AF118" s="65"/>
      <c r="AG118" s="65"/>
      <c r="AH118" s="65"/>
      <c r="AI118" s="65"/>
      <c r="AJ118" s="65"/>
      <c r="AK118" s="65"/>
      <c r="AL118" s="65"/>
      <c r="AM118" s="65"/>
      <c r="AN118" s="65"/>
      <c r="AO118" s="65"/>
      <c r="AP118" s="65"/>
      <c r="AQ118" s="65"/>
      <c r="AR118" s="65"/>
      <c r="AS118" s="65"/>
      <c r="AT118" s="65"/>
    </row>
    <row r="119" spans="2:46" s="32" customFormat="1" x14ac:dyDescent="0.2">
      <c r="B119" s="44"/>
      <c r="C119" s="44"/>
      <c r="D119" s="35"/>
      <c r="E119" s="35"/>
      <c r="F119" s="35"/>
      <c r="G119" s="35"/>
      <c r="H119" s="35"/>
      <c r="I119" s="35"/>
      <c r="J119" s="35"/>
      <c r="K119" s="39"/>
      <c r="L119" s="39"/>
      <c r="M119" s="39"/>
      <c r="N119" s="39"/>
      <c r="O119" s="39"/>
      <c r="P119" s="39"/>
      <c r="Q119" s="39"/>
      <c r="R119" s="39"/>
      <c r="S119" s="39"/>
      <c r="T119" s="39"/>
      <c r="U119" s="39"/>
      <c r="V119" s="40"/>
      <c r="W119" s="40"/>
      <c r="X119" s="40"/>
      <c r="Y119" s="40"/>
      <c r="Z119" s="40"/>
      <c r="AA119" s="40"/>
      <c r="AE119" s="65"/>
      <c r="AF119" s="65"/>
      <c r="AG119" s="65"/>
      <c r="AH119" s="65"/>
      <c r="AI119" s="65"/>
      <c r="AJ119" s="65"/>
      <c r="AK119" s="65"/>
      <c r="AL119" s="65"/>
      <c r="AM119" s="65"/>
      <c r="AN119" s="65"/>
      <c r="AO119" s="65"/>
      <c r="AP119" s="65"/>
      <c r="AQ119" s="65"/>
      <c r="AR119" s="65"/>
      <c r="AS119" s="65"/>
      <c r="AT119" s="65"/>
    </row>
    <row r="120" spans="2:46" s="32" customFormat="1" x14ac:dyDescent="0.2">
      <c r="B120" s="44"/>
      <c r="C120" s="44"/>
      <c r="D120" s="35"/>
      <c r="E120" s="35"/>
      <c r="F120" s="35"/>
      <c r="G120" s="35"/>
      <c r="H120" s="35"/>
      <c r="I120" s="35"/>
      <c r="J120" s="35"/>
      <c r="K120" s="39"/>
      <c r="L120" s="39"/>
      <c r="M120" s="39"/>
      <c r="N120" s="39"/>
      <c r="O120" s="39"/>
      <c r="P120" s="39"/>
      <c r="Q120" s="39"/>
      <c r="R120" s="39"/>
      <c r="S120" s="39"/>
      <c r="T120" s="39"/>
      <c r="U120" s="39"/>
      <c r="V120" s="40"/>
      <c r="W120" s="40"/>
      <c r="X120" s="40"/>
      <c r="Y120" s="40"/>
      <c r="Z120" s="40"/>
      <c r="AA120" s="40"/>
      <c r="AE120" s="65"/>
      <c r="AF120" s="65"/>
      <c r="AG120" s="65"/>
      <c r="AH120" s="65"/>
      <c r="AI120" s="65"/>
      <c r="AJ120" s="65"/>
      <c r="AK120" s="65"/>
      <c r="AL120" s="65"/>
      <c r="AM120" s="65"/>
      <c r="AN120" s="65"/>
      <c r="AO120" s="65"/>
      <c r="AP120" s="65"/>
      <c r="AQ120" s="65"/>
      <c r="AR120" s="65"/>
      <c r="AS120" s="65"/>
      <c r="AT120" s="65"/>
    </row>
    <row r="121" spans="2:46" s="32" customFormat="1" x14ac:dyDescent="0.2">
      <c r="B121" s="44"/>
      <c r="C121" s="44"/>
      <c r="D121" s="35"/>
      <c r="E121" s="35"/>
      <c r="F121" s="35"/>
      <c r="G121" s="35"/>
      <c r="H121" s="35"/>
      <c r="I121" s="35"/>
      <c r="J121" s="35"/>
      <c r="K121" s="39"/>
      <c r="L121" s="39"/>
      <c r="M121" s="39"/>
      <c r="N121" s="39"/>
      <c r="O121" s="39"/>
      <c r="P121" s="39"/>
      <c r="Q121" s="39"/>
      <c r="R121" s="39"/>
      <c r="S121" s="39"/>
      <c r="T121" s="39"/>
      <c r="U121" s="39"/>
      <c r="V121" s="40"/>
      <c r="W121" s="40"/>
      <c r="X121" s="40"/>
      <c r="Y121" s="40"/>
      <c r="Z121" s="40"/>
      <c r="AA121" s="40"/>
      <c r="AE121" s="65"/>
      <c r="AF121" s="65"/>
      <c r="AG121" s="65"/>
      <c r="AH121" s="65"/>
      <c r="AI121" s="65"/>
      <c r="AJ121" s="65"/>
      <c r="AK121" s="65"/>
      <c r="AL121" s="65"/>
      <c r="AM121" s="65"/>
      <c r="AN121" s="65"/>
      <c r="AO121" s="65"/>
      <c r="AP121" s="65"/>
      <c r="AQ121" s="65"/>
      <c r="AR121" s="65"/>
      <c r="AS121" s="65"/>
      <c r="AT121" s="65"/>
    </row>
    <row r="122" spans="2:46" s="32" customFormat="1" x14ac:dyDescent="0.2">
      <c r="B122" s="44"/>
      <c r="C122" s="44"/>
      <c r="D122" s="35"/>
      <c r="E122" s="35"/>
      <c r="F122" s="35"/>
      <c r="G122" s="35"/>
      <c r="H122" s="35"/>
      <c r="I122" s="35"/>
      <c r="J122" s="35"/>
      <c r="K122" s="39"/>
      <c r="L122" s="39"/>
      <c r="M122" s="39"/>
      <c r="N122" s="39"/>
      <c r="O122" s="39"/>
      <c r="P122" s="39"/>
      <c r="Q122" s="39"/>
      <c r="R122" s="39"/>
      <c r="S122" s="39"/>
      <c r="T122" s="39"/>
      <c r="U122" s="39"/>
      <c r="V122" s="40"/>
      <c r="W122" s="40"/>
      <c r="X122" s="40"/>
      <c r="Y122" s="40"/>
      <c r="Z122" s="40"/>
      <c r="AA122" s="40"/>
      <c r="AE122" s="65"/>
      <c r="AF122" s="65"/>
      <c r="AG122" s="65"/>
      <c r="AH122" s="65"/>
      <c r="AI122" s="65"/>
      <c r="AJ122" s="65"/>
      <c r="AK122" s="65"/>
      <c r="AL122" s="65"/>
      <c r="AM122" s="65"/>
      <c r="AN122" s="65"/>
      <c r="AO122" s="65"/>
      <c r="AP122" s="65"/>
      <c r="AQ122" s="65"/>
      <c r="AR122" s="65"/>
      <c r="AS122" s="65"/>
      <c r="AT122" s="65"/>
    </row>
    <row r="123" spans="2:46" s="32" customFormat="1" x14ac:dyDescent="0.2">
      <c r="B123" s="44"/>
      <c r="C123" s="44"/>
      <c r="D123" s="35"/>
      <c r="E123" s="35"/>
      <c r="F123" s="35"/>
      <c r="G123" s="35"/>
      <c r="H123" s="35"/>
      <c r="I123" s="35"/>
      <c r="J123" s="35"/>
      <c r="K123" s="39"/>
      <c r="L123" s="39"/>
      <c r="M123" s="39"/>
      <c r="N123" s="39"/>
      <c r="O123" s="39"/>
      <c r="P123" s="39"/>
      <c r="Q123" s="39"/>
      <c r="R123" s="39"/>
      <c r="S123" s="39"/>
      <c r="T123" s="39"/>
      <c r="U123" s="39"/>
      <c r="V123" s="40"/>
      <c r="W123" s="40"/>
      <c r="X123" s="40"/>
      <c r="Y123" s="40"/>
      <c r="Z123" s="40"/>
      <c r="AA123" s="40"/>
      <c r="AE123" s="65"/>
      <c r="AF123" s="65"/>
      <c r="AG123" s="65"/>
      <c r="AH123" s="65"/>
      <c r="AI123" s="65"/>
      <c r="AJ123" s="65"/>
      <c r="AK123" s="65"/>
      <c r="AL123" s="65"/>
      <c r="AM123" s="65"/>
      <c r="AN123" s="65"/>
      <c r="AO123" s="65"/>
      <c r="AP123" s="65"/>
      <c r="AQ123" s="65"/>
      <c r="AR123" s="65"/>
      <c r="AS123" s="65"/>
      <c r="AT123" s="65"/>
    </row>
    <row r="124" spans="2:46" s="32" customFormat="1" x14ac:dyDescent="0.2">
      <c r="B124" s="44"/>
      <c r="C124" s="44"/>
      <c r="D124" s="35"/>
      <c r="E124" s="35"/>
      <c r="F124" s="35"/>
      <c r="G124" s="35"/>
      <c r="H124" s="35"/>
      <c r="I124" s="35"/>
      <c r="J124" s="35"/>
      <c r="K124" s="39"/>
      <c r="L124" s="39"/>
      <c r="M124" s="39"/>
      <c r="N124" s="39"/>
      <c r="O124" s="39"/>
      <c r="P124" s="39"/>
      <c r="Q124" s="39"/>
      <c r="R124" s="39"/>
      <c r="S124" s="39"/>
      <c r="T124" s="39"/>
      <c r="U124" s="39"/>
      <c r="V124" s="40"/>
      <c r="W124" s="40"/>
      <c r="X124" s="40"/>
      <c r="Y124" s="40"/>
      <c r="Z124" s="40"/>
      <c r="AA124" s="40"/>
      <c r="AE124" s="65"/>
      <c r="AF124" s="65"/>
      <c r="AG124" s="65"/>
      <c r="AH124" s="65"/>
      <c r="AI124" s="65"/>
      <c r="AJ124" s="65"/>
      <c r="AK124" s="65"/>
      <c r="AL124" s="65"/>
      <c r="AM124" s="65"/>
      <c r="AN124" s="65"/>
      <c r="AO124" s="65"/>
      <c r="AP124" s="65"/>
      <c r="AQ124" s="65"/>
      <c r="AR124" s="65"/>
      <c r="AS124" s="65"/>
      <c r="AT124" s="65"/>
    </row>
    <row r="125" spans="2:46" s="32" customFormat="1" x14ac:dyDescent="0.2">
      <c r="B125" s="44"/>
      <c r="C125" s="44"/>
      <c r="D125" s="35"/>
      <c r="E125" s="35"/>
      <c r="F125" s="35"/>
      <c r="G125" s="35"/>
      <c r="H125" s="35"/>
      <c r="I125" s="35"/>
      <c r="J125" s="35"/>
      <c r="K125" s="39"/>
      <c r="L125" s="39"/>
      <c r="M125" s="39"/>
      <c r="N125" s="39"/>
      <c r="O125" s="39"/>
      <c r="P125" s="39"/>
      <c r="Q125" s="39"/>
      <c r="R125" s="39"/>
      <c r="S125" s="39"/>
      <c r="T125" s="39"/>
      <c r="U125" s="39"/>
      <c r="V125" s="40"/>
      <c r="W125" s="40"/>
      <c r="X125" s="40"/>
      <c r="Y125" s="40"/>
      <c r="Z125" s="40"/>
      <c r="AA125" s="40"/>
      <c r="AE125" s="65"/>
      <c r="AF125" s="65"/>
      <c r="AG125" s="65"/>
      <c r="AH125" s="65"/>
      <c r="AI125" s="65"/>
      <c r="AJ125" s="65"/>
      <c r="AK125" s="65"/>
      <c r="AL125" s="65"/>
      <c r="AM125" s="65"/>
      <c r="AN125" s="65"/>
      <c r="AO125" s="65"/>
      <c r="AP125" s="65"/>
      <c r="AQ125" s="65"/>
      <c r="AR125" s="65"/>
      <c r="AS125" s="65"/>
      <c r="AT125" s="65"/>
    </row>
    <row r="126" spans="2:46" s="32" customFormat="1" x14ac:dyDescent="0.2">
      <c r="B126" s="44"/>
      <c r="C126" s="44"/>
      <c r="D126" s="35"/>
      <c r="E126" s="35"/>
      <c r="F126" s="35"/>
      <c r="G126" s="35"/>
      <c r="H126" s="35"/>
      <c r="I126" s="35"/>
      <c r="J126" s="35"/>
      <c r="K126" s="39"/>
      <c r="L126" s="39"/>
      <c r="M126" s="39"/>
      <c r="N126" s="39"/>
      <c r="O126" s="39"/>
      <c r="P126" s="39"/>
      <c r="Q126" s="39"/>
      <c r="R126" s="39"/>
      <c r="S126" s="39"/>
      <c r="T126" s="39"/>
      <c r="U126" s="39"/>
      <c r="V126" s="40"/>
      <c r="W126" s="40"/>
      <c r="X126" s="40"/>
      <c r="Y126" s="40"/>
      <c r="Z126" s="40"/>
      <c r="AA126" s="40"/>
      <c r="AE126" s="65"/>
      <c r="AF126" s="65"/>
      <c r="AG126" s="65"/>
      <c r="AH126" s="65"/>
      <c r="AI126" s="65"/>
      <c r="AJ126" s="65"/>
      <c r="AK126" s="65"/>
      <c r="AL126" s="65"/>
      <c r="AM126" s="65"/>
      <c r="AN126" s="65"/>
      <c r="AO126" s="65"/>
      <c r="AP126" s="65"/>
      <c r="AQ126" s="65"/>
      <c r="AR126" s="65"/>
      <c r="AS126" s="65"/>
      <c r="AT126" s="65"/>
    </row>
    <row r="127" spans="2:46" s="32" customFormat="1" x14ac:dyDescent="0.2">
      <c r="B127" s="44"/>
      <c r="C127" s="44"/>
      <c r="D127" s="35"/>
      <c r="E127" s="35"/>
      <c r="F127" s="35"/>
      <c r="G127" s="35"/>
      <c r="H127" s="35"/>
      <c r="I127" s="35"/>
      <c r="J127" s="35"/>
      <c r="K127" s="39"/>
      <c r="L127" s="39"/>
      <c r="M127" s="39"/>
      <c r="N127" s="39"/>
      <c r="O127" s="39"/>
      <c r="P127" s="39"/>
      <c r="Q127" s="39"/>
      <c r="R127" s="39"/>
      <c r="S127" s="39"/>
      <c r="T127" s="39"/>
      <c r="U127" s="39"/>
      <c r="V127" s="40"/>
      <c r="W127" s="40"/>
      <c r="X127" s="40"/>
      <c r="Y127" s="40"/>
      <c r="Z127" s="40"/>
      <c r="AA127" s="40"/>
      <c r="AE127" s="65"/>
      <c r="AF127" s="65"/>
      <c r="AG127" s="65"/>
      <c r="AH127" s="65"/>
      <c r="AI127" s="65"/>
      <c r="AJ127" s="65"/>
      <c r="AK127" s="65"/>
      <c r="AL127" s="65"/>
      <c r="AM127" s="65"/>
      <c r="AN127" s="65"/>
      <c r="AO127" s="65"/>
      <c r="AP127" s="65"/>
      <c r="AQ127" s="65"/>
      <c r="AR127" s="65"/>
      <c r="AS127" s="65"/>
      <c r="AT127" s="65"/>
    </row>
    <row r="128" spans="2:46" s="32" customFormat="1" x14ac:dyDescent="0.2">
      <c r="B128" s="44"/>
      <c r="C128" s="44"/>
      <c r="D128" s="35"/>
      <c r="E128" s="35"/>
      <c r="F128" s="35"/>
      <c r="G128" s="35"/>
      <c r="H128" s="35"/>
      <c r="I128" s="35"/>
      <c r="J128" s="35"/>
      <c r="K128" s="39"/>
      <c r="L128" s="39"/>
      <c r="M128" s="39"/>
      <c r="N128" s="39"/>
      <c r="O128" s="39"/>
      <c r="P128" s="39"/>
      <c r="Q128" s="39"/>
      <c r="R128" s="39"/>
      <c r="S128" s="39"/>
      <c r="T128" s="39"/>
      <c r="U128" s="39"/>
      <c r="V128" s="40"/>
      <c r="W128" s="40"/>
      <c r="X128" s="40"/>
      <c r="Y128" s="40"/>
      <c r="Z128" s="40"/>
      <c r="AA128" s="40"/>
      <c r="AE128" s="65"/>
      <c r="AF128" s="65"/>
      <c r="AG128" s="65"/>
      <c r="AH128" s="65"/>
      <c r="AI128" s="65"/>
      <c r="AJ128" s="65"/>
      <c r="AK128" s="65"/>
      <c r="AL128" s="65"/>
      <c r="AM128" s="65"/>
      <c r="AN128" s="65"/>
      <c r="AO128" s="65"/>
      <c r="AP128" s="65"/>
      <c r="AQ128" s="65"/>
      <c r="AR128" s="65"/>
      <c r="AS128" s="65"/>
      <c r="AT128" s="65"/>
    </row>
    <row r="129" spans="2:46" s="32" customFormat="1" x14ac:dyDescent="0.2">
      <c r="B129" s="44"/>
      <c r="C129" s="44"/>
      <c r="D129" s="35"/>
      <c r="E129" s="35"/>
      <c r="F129" s="35"/>
      <c r="G129" s="35"/>
      <c r="H129" s="35"/>
      <c r="I129" s="35"/>
      <c r="J129" s="35"/>
      <c r="K129" s="39"/>
      <c r="L129" s="39"/>
      <c r="M129" s="39"/>
      <c r="N129" s="39"/>
      <c r="O129" s="39"/>
      <c r="P129" s="39"/>
      <c r="Q129" s="39"/>
      <c r="R129" s="39"/>
      <c r="S129" s="39"/>
      <c r="T129" s="39"/>
      <c r="U129" s="39"/>
      <c r="V129" s="40"/>
      <c r="W129" s="40"/>
      <c r="X129" s="40"/>
      <c r="Y129" s="40"/>
      <c r="Z129" s="40"/>
      <c r="AA129" s="40"/>
      <c r="AE129" s="65"/>
      <c r="AF129" s="65"/>
      <c r="AG129" s="65"/>
      <c r="AH129" s="65"/>
      <c r="AI129" s="65"/>
      <c r="AJ129" s="65"/>
      <c r="AK129" s="65"/>
      <c r="AL129" s="65"/>
      <c r="AM129" s="65"/>
      <c r="AN129" s="65"/>
      <c r="AO129" s="65"/>
      <c r="AP129" s="65"/>
      <c r="AQ129" s="65"/>
      <c r="AR129" s="65"/>
      <c r="AS129" s="65"/>
      <c r="AT129" s="65"/>
    </row>
    <row r="130" spans="2:46" s="32" customFormat="1" x14ac:dyDescent="0.2">
      <c r="B130" s="44"/>
      <c r="C130" s="44"/>
      <c r="D130" s="35"/>
      <c r="E130" s="35"/>
      <c r="F130" s="35"/>
      <c r="G130" s="35"/>
      <c r="H130" s="35"/>
      <c r="I130" s="35"/>
      <c r="J130" s="35"/>
      <c r="K130" s="39"/>
      <c r="L130" s="39"/>
      <c r="M130" s="39"/>
      <c r="N130" s="39"/>
      <c r="O130" s="39"/>
      <c r="P130" s="39"/>
      <c r="Q130" s="39"/>
      <c r="R130" s="39"/>
      <c r="S130" s="39"/>
      <c r="T130" s="39"/>
      <c r="U130" s="39"/>
      <c r="V130" s="40"/>
      <c r="W130" s="40"/>
      <c r="X130" s="40"/>
      <c r="Y130" s="40"/>
      <c r="Z130" s="40"/>
      <c r="AA130" s="40"/>
      <c r="AE130" s="65"/>
      <c r="AF130" s="65"/>
      <c r="AG130" s="65"/>
      <c r="AH130" s="65"/>
      <c r="AI130" s="65"/>
      <c r="AJ130" s="65"/>
      <c r="AK130" s="65"/>
      <c r="AL130" s="65"/>
      <c r="AM130" s="65"/>
      <c r="AN130" s="65"/>
      <c r="AO130" s="65"/>
      <c r="AP130" s="65"/>
      <c r="AQ130" s="65"/>
      <c r="AR130" s="65"/>
      <c r="AS130" s="65"/>
      <c r="AT130" s="65"/>
    </row>
    <row r="131" spans="2:46" s="32" customFormat="1" x14ac:dyDescent="0.2">
      <c r="B131" s="44"/>
      <c r="C131" s="44"/>
      <c r="D131" s="35"/>
      <c r="E131" s="35"/>
      <c r="F131" s="35"/>
      <c r="G131" s="35"/>
      <c r="H131" s="35"/>
      <c r="I131" s="35"/>
      <c r="J131" s="35"/>
      <c r="K131" s="39"/>
      <c r="L131" s="39"/>
      <c r="M131" s="39"/>
      <c r="N131" s="39"/>
      <c r="O131" s="39"/>
      <c r="P131" s="39"/>
      <c r="Q131" s="39"/>
      <c r="R131" s="39"/>
      <c r="S131" s="39"/>
      <c r="T131" s="39"/>
      <c r="U131" s="39"/>
      <c r="V131" s="40"/>
      <c r="W131" s="40"/>
      <c r="X131" s="40"/>
      <c r="Y131" s="40"/>
      <c r="Z131" s="40"/>
      <c r="AA131" s="40"/>
      <c r="AE131" s="65"/>
      <c r="AF131" s="65"/>
      <c r="AG131" s="65"/>
      <c r="AH131" s="65"/>
      <c r="AI131" s="65"/>
      <c r="AJ131" s="65"/>
      <c r="AK131" s="65"/>
      <c r="AL131" s="65"/>
      <c r="AM131" s="65"/>
      <c r="AN131" s="65"/>
      <c r="AO131" s="65"/>
      <c r="AP131" s="65"/>
      <c r="AQ131" s="65"/>
      <c r="AR131" s="65"/>
      <c r="AS131" s="65"/>
      <c r="AT131" s="65"/>
    </row>
    <row r="132" spans="2:46" s="32" customFormat="1" x14ac:dyDescent="0.2">
      <c r="B132" s="44"/>
      <c r="C132" s="44"/>
      <c r="D132" s="35"/>
      <c r="E132" s="35"/>
      <c r="F132" s="35"/>
      <c r="G132" s="35"/>
      <c r="H132" s="35"/>
      <c r="I132" s="35"/>
      <c r="J132" s="35"/>
      <c r="K132" s="39"/>
      <c r="L132" s="39"/>
      <c r="M132" s="39"/>
      <c r="N132" s="39"/>
      <c r="O132" s="39"/>
      <c r="P132" s="39"/>
      <c r="Q132" s="39"/>
      <c r="R132" s="39"/>
      <c r="S132" s="39"/>
      <c r="T132" s="39"/>
      <c r="U132" s="39"/>
      <c r="V132" s="40"/>
      <c r="W132" s="40"/>
      <c r="X132" s="40"/>
      <c r="Y132" s="40"/>
      <c r="Z132" s="40"/>
      <c r="AA132" s="40"/>
      <c r="AE132" s="65"/>
      <c r="AF132" s="65"/>
      <c r="AG132" s="65"/>
      <c r="AH132" s="65"/>
      <c r="AI132" s="65"/>
      <c r="AJ132" s="65"/>
      <c r="AK132" s="65"/>
      <c r="AL132" s="65"/>
      <c r="AM132" s="65"/>
      <c r="AN132" s="65"/>
      <c r="AO132" s="65"/>
      <c r="AP132" s="65"/>
      <c r="AQ132" s="65"/>
      <c r="AR132" s="65"/>
      <c r="AS132" s="65"/>
      <c r="AT132" s="65"/>
    </row>
    <row r="133" spans="2:46" s="32" customFormat="1" x14ac:dyDescent="0.2">
      <c r="B133" s="44"/>
      <c r="C133" s="44"/>
      <c r="D133" s="35"/>
      <c r="E133" s="35"/>
      <c r="F133" s="35"/>
      <c r="G133" s="35"/>
      <c r="H133" s="35"/>
      <c r="I133" s="35"/>
      <c r="J133" s="35"/>
      <c r="K133" s="39"/>
      <c r="L133" s="39"/>
      <c r="M133" s="39"/>
      <c r="N133" s="39"/>
      <c r="O133" s="39"/>
      <c r="P133" s="39"/>
      <c r="Q133" s="39"/>
      <c r="R133" s="39"/>
      <c r="S133" s="39"/>
      <c r="T133" s="39"/>
      <c r="U133" s="39"/>
      <c r="V133" s="40"/>
      <c r="W133" s="40"/>
      <c r="X133" s="40"/>
      <c r="Y133" s="40"/>
      <c r="Z133" s="40"/>
      <c r="AA133" s="40"/>
      <c r="AE133" s="65"/>
      <c r="AF133" s="65"/>
      <c r="AG133" s="65"/>
      <c r="AH133" s="65"/>
      <c r="AI133" s="65"/>
      <c r="AJ133" s="65"/>
      <c r="AK133" s="65"/>
      <c r="AL133" s="65"/>
      <c r="AM133" s="65"/>
      <c r="AN133" s="65"/>
      <c r="AO133" s="65"/>
      <c r="AP133" s="65"/>
      <c r="AQ133" s="65"/>
      <c r="AR133" s="65"/>
      <c r="AS133" s="65"/>
      <c r="AT133" s="65"/>
    </row>
    <row r="134" spans="2:46" s="32" customFormat="1" x14ac:dyDescent="0.2">
      <c r="B134" s="44"/>
      <c r="C134" s="44"/>
      <c r="D134" s="35"/>
      <c r="E134" s="35"/>
      <c r="F134" s="35"/>
      <c r="G134" s="35"/>
      <c r="H134" s="35"/>
      <c r="I134" s="35"/>
      <c r="J134" s="35"/>
      <c r="K134" s="39"/>
      <c r="L134" s="39"/>
      <c r="M134" s="39"/>
      <c r="N134" s="39"/>
      <c r="O134" s="39"/>
      <c r="P134" s="39"/>
      <c r="Q134" s="39"/>
      <c r="R134" s="39"/>
      <c r="S134" s="39"/>
      <c r="T134" s="39"/>
      <c r="U134" s="39"/>
      <c r="V134" s="40"/>
      <c r="W134" s="40"/>
      <c r="X134" s="40"/>
      <c r="Y134" s="40"/>
      <c r="Z134" s="40"/>
      <c r="AA134" s="40"/>
      <c r="AE134" s="65"/>
      <c r="AF134" s="65"/>
      <c r="AG134" s="65"/>
      <c r="AH134" s="65"/>
      <c r="AI134" s="65"/>
      <c r="AJ134" s="65"/>
      <c r="AK134" s="65"/>
      <c r="AL134" s="65"/>
      <c r="AM134" s="65"/>
      <c r="AN134" s="65"/>
      <c r="AO134" s="65"/>
      <c r="AP134" s="65"/>
      <c r="AQ134" s="65"/>
      <c r="AR134" s="65"/>
      <c r="AS134" s="65"/>
      <c r="AT134" s="65"/>
    </row>
    <row r="135" spans="2:46" s="32" customFormat="1" x14ac:dyDescent="0.2">
      <c r="B135" s="44"/>
      <c r="C135" s="44"/>
      <c r="D135" s="35"/>
      <c r="E135" s="35"/>
      <c r="F135" s="35"/>
      <c r="G135" s="35"/>
      <c r="H135" s="35"/>
      <c r="I135" s="35"/>
      <c r="J135" s="35"/>
      <c r="K135" s="39"/>
      <c r="L135" s="39"/>
      <c r="M135" s="39"/>
      <c r="N135" s="39"/>
      <c r="O135" s="39"/>
      <c r="P135" s="39"/>
      <c r="Q135" s="39"/>
      <c r="R135" s="39"/>
      <c r="S135" s="39"/>
      <c r="T135" s="39"/>
      <c r="U135" s="39"/>
      <c r="V135" s="40"/>
      <c r="W135" s="40"/>
      <c r="X135" s="40"/>
      <c r="Y135" s="40"/>
      <c r="Z135" s="40"/>
      <c r="AA135" s="40"/>
      <c r="AE135" s="65"/>
      <c r="AF135" s="65"/>
      <c r="AG135" s="65"/>
      <c r="AH135" s="65"/>
      <c r="AI135" s="65"/>
      <c r="AJ135" s="65"/>
      <c r="AK135" s="65"/>
      <c r="AL135" s="65"/>
      <c r="AM135" s="65"/>
      <c r="AN135" s="65"/>
      <c r="AO135" s="65"/>
      <c r="AP135" s="65"/>
      <c r="AQ135" s="65"/>
      <c r="AR135" s="65"/>
      <c r="AS135" s="65"/>
      <c r="AT135" s="65"/>
    </row>
    <row r="136" spans="2:46" s="32" customFormat="1" x14ac:dyDescent="0.2">
      <c r="B136" s="44"/>
      <c r="C136" s="44"/>
      <c r="D136" s="35"/>
      <c r="E136" s="35"/>
      <c r="F136" s="35"/>
      <c r="G136" s="35"/>
      <c r="H136" s="35"/>
      <c r="I136" s="35"/>
      <c r="J136" s="35"/>
      <c r="K136" s="39"/>
      <c r="L136" s="39"/>
      <c r="M136" s="39"/>
      <c r="N136" s="39"/>
      <c r="O136" s="39"/>
      <c r="P136" s="39"/>
      <c r="Q136" s="39"/>
      <c r="R136" s="39"/>
      <c r="S136" s="39"/>
      <c r="T136" s="39"/>
      <c r="U136" s="39"/>
      <c r="V136" s="40"/>
      <c r="W136" s="40"/>
      <c r="X136" s="40"/>
      <c r="Y136" s="40"/>
      <c r="Z136" s="40"/>
      <c r="AA136" s="40"/>
      <c r="AE136" s="65"/>
      <c r="AF136" s="65"/>
      <c r="AG136" s="65"/>
      <c r="AH136" s="65"/>
      <c r="AI136" s="65"/>
      <c r="AJ136" s="65"/>
      <c r="AK136" s="65"/>
      <c r="AL136" s="65"/>
      <c r="AM136" s="65"/>
      <c r="AN136" s="65"/>
      <c r="AO136" s="65"/>
      <c r="AP136" s="65"/>
      <c r="AQ136" s="65"/>
      <c r="AR136" s="65"/>
      <c r="AS136" s="65"/>
      <c r="AT136" s="65"/>
    </row>
    <row r="137" spans="2:46" s="32" customFormat="1" x14ac:dyDescent="0.2">
      <c r="B137" s="44"/>
      <c r="C137" s="44"/>
      <c r="D137" s="35"/>
      <c r="E137" s="35"/>
      <c r="F137" s="35"/>
      <c r="G137" s="35"/>
      <c r="H137" s="35"/>
      <c r="I137" s="35"/>
      <c r="J137" s="35"/>
      <c r="K137" s="39"/>
      <c r="L137" s="39"/>
      <c r="M137" s="39"/>
      <c r="N137" s="39"/>
      <c r="O137" s="39"/>
      <c r="P137" s="39"/>
      <c r="Q137" s="39"/>
      <c r="R137" s="39"/>
      <c r="S137" s="39"/>
      <c r="T137" s="39"/>
      <c r="U137" s="39"/>
      <c r="V137" s="40"/>
      <c r="W137" s="40"/>
      <c r="X137" s="40"/>
      <c r="Y137" s="40"/>
      <c r="Z137" s="40"/>
      <c r="AA137" s="40"/>
      <c r="AE137" s="65"/>
      <c r="AF137" s="65"/>
      <c r="AG137" s="65"/>
      <c r="AH137" s="65"/>
      <c r="AI137" s="65"/>
      <c r="AJ137" s="65"/>
      <c r="AK137" s="65"/>
      <c r="AL137" s="65"/>
      <c r="AM137" s="65"/>
      <c r="AN137" s="65"/>
      <c r="AO137" s="65"/>
      <c r="AP137" s="65"/>
      <c r="AQ137" s="65"/>
      <c r="AR137" s="65"/>
      <c r="AS137" s="65"/>
      <c r="AT137" s="65"/>
    </row>
    <row r="138" spans="2:46" s="32" customFormat="1" x14ac:dyDescent="0.2">
      <c r="B138" s="44"/>
      <c r="C138" s="44"/>
      <c r="D138" s="35"/>
      <c r="E138" s="35"/>
      <c r="F138" s="35"/>
      <c r="G138" s="35"/>
      <c r="H138" s="35"/>
      <c r="I138" s="35"/>
      <c r="J138" s="35"/>
      <c r="K138" s="39"/>
      <c r="L138" s="39"/>
      <c r="M138" s="39"/>
      <c r="N138" s="39"/>
      <c r="O138" s="39"/>
      <c r="P138" s="39"/>
      <c r="Q138" s="39"/>
      <c r="R138" s="39"/>
      <c r="S138" s="39"/>
      <c r="T138" s="39"/>
      <c r="U138" s="39"/>
      <c r="V138" s="40"/>
      <c r="W138" s="40"/>
      <c r="X138" s="40"/>
      <c r="Y138" s="40"/>
      <c r="Z138" s="40"/>
      <c r="AA138" s="40"/>
      <c r="AE138" s="65"/>
      <c r="AF138" s="65"/>
      <c r="AG138" s="65"/>
      <c r="AH138" s="65"/>
      <c r="AI138" s="65"/>
      <c r="AJ138" s="65"/>
      <c r="AK138" s="65"/>
      <c r="AL138" s="65"/>
      <c r="AM138" s="65"/>
      <c r="AN138" s="65"/>
      <c r="AO138" s="65"/>
      <c r="AP138" s="65"/>
      <c r="AQ138" s="65"/>
      <c r="AR138" s="65"/>
      <c r="AS138" s="65"/>
      <c r="AT138" s="65"/>
    </row>
    <row r="139" spans="2:46" s="32" customFormat="1" x14ac:dyDescent="0.2">
      <c r="B139" s="44"/>
      <c r="C139" s="44"/>
      <c r="D139" s="35"/>
      <c r="E139" s="35"/>
      <c r="F139" s="35"/>
      <c r="G139" s="35"/>
      <c r="H139" s="35"/>
      <c r="I139" s="35"/>
      <c r="J139" s="35"/>
      <c r="K139" s="35"/>
      <c r="L139" s="35"/>
      <c r="M139" s="35"/>
      <c r="N139" s="35"/>
      <c r="O139" s="35"/>
      <c r="P139" s="35"/>
      <c r="Q139" s="35"/>
      <c r="R139" s="35"/>
      <c r="S139" s="35"/>
      <c r="T139" s="35"/>
      <c r="U139" s="35"/>
      <c r="AE139" s="65"/>
      <c r="AF139" s="65"/>
      <c r="AG139" s="65"/>
      <c r="AH139" s="65"/>
      <c r="AI139" s="65"/>
      <c r="AJ139" s="65"/>
      <c r="AK139" s="65"/>
      <c r="AL139" s="65"/>
      <c r="AM139" s="65"/>
      <c r="AN139" s="65"/>
      <c r="AO139" s="65"/>
      <c r="AP139" s="65"/>
      <c r="AQ139" s="65"/>
      <c r="AR139" s="65"/>
      <c r="AS139" s="65"/>
      <c r="AT139" s="65"/>
    </row>
    <row r="140" spans="2:46" s="32" customFormat="1" x14ac:dyDescent="0.2">
      <c r="B140" s="44"/>
      <c r="C140" s="44"/>
      <c r="D140" s="35"/>
      <c r="E140" s="35"/>
      <c r="F140" s="35"/>
      <c r="G140" s="35"/>
      <c r="H140" s="35"/>
      <c r="I140" s="35"/>
      <c r="J140" s="35"/>
      <c r="K140" s="35"/>
      <c r="L140" s="35"/>
      <c r="M140" s="35"/>
      <c r="N140" s="35"/>
      <c r="O140" s="35"/>
      <c r="P140" s="35"/>
      <c r="Q140" s="35"/>
      <c r="R140" s="35"/>
      <c r="S140" s="35"/>
      <c r="T140" s="35"/>
      <c r="U140" s="35"/>
      <c r="AE140" s="65"/>
      <c r="AF140" s="65"/>
      <c r="AG140" s="65"/>
      <c r="AH140" s="65"/>
      <c r="AI140" s="65"/>
      <c r="AJ140" s="65"/>
      <c r="AK140" s="65"/>
      <c r="AL140" s="65"/>
      <c r="AM140" s="65"/>
      <c r="AN140" s="65"/>
      <c r="AO140" s="65"/>
      <c r="AP140" s="65"/>
      <c r="AQ140" s="65"/>
      <c r="AR140" s="65"/>
      <c r="AS140" s="65"/>
      <c r="AT140" s="65"/>
    </row>
    <row r="141" spans="2:46" s="32" customFormat="1" x14ac:dyDescent="0.2">
      <c r="B141" s="44"/>
      <c r="C141" s="44"/>
      <c r="D141" s="35"/>
      <c r="E141" s="35"/>
      <c r="F141" s="35"/>
      <c r="G141" s="35"/>
      <c r="H141" s="35"/>
      <c r="I141" s="35"/>
      <c r="J141" s="35"/>
      <c r="K141" s="35"/>
      <c r="L141" s="35"/>
      <c r="M141" s="35"/>
      <c r="N141" s="35"/>
      <c r="O141" s="35"/>
      <c r="P141" s="35"/>
      <c r="Q141" s="35"/>
      <c r="R141" s="35"/>
      <c r="S141" s="35"/>
      <c r="T141" s="35"/>
      <c r="U141" s="35"/>
      <c r="AE141" s="65"/>
      <c r="AF141" s="65"/>
      <c r="AG141" s="65"/>
      <c r="AH141" s="65"/>
      <c r="AI141" s="65"/>
      <c r="AJ141" s="65"/>
      <c r="AK141" s="65"/>
      <c r="AL141" s="65"/>
      <c r="AM141" s="65"/>
      <c r="AN141" s="65"/>
      <c r="AO141" s="65"/>
      <c r="AP141" s="65"/>
      <c r="AQ141" s="65"/>
      <c r="AR141" s="65"/>
      <c r="AS141" s="65"/>
      <c r="AT141" s="65"/>
    </row>
    <row r="142" spans="2:46" s="32" customFormat="1" x14ac:dyDescent="0.2">
      <c r="B142" s="44"/>
      <c r="C142" s="44"/>
      <c r="D142" s="35"/>
      <c r="E142" s="35"/>
      <c r="F142" s="35"/>
      <c r="G142" s="35"/>
      <c r="H142" s="35"/>
      <c r="I142" s="35"/>
      <c r="J142" s="35"/>
      <c r="K142" s="35"/>
      <c r="L142" s="35"/>
      <c r="M142" s="35"/>
      <c r="N142" s="35"/>
      <c r="O142" s="35"/>
      <c r="P142" s="35"/>
      <c r="Q142" s="35"/>
      <c r="R142" s="35"/>
      <c r="S142" s="35"/>
      <c r="T142" s="35"/>
      <c r="U142" s="35"/>
      <c r="AE142" s="65"/>
      <c r="AF142" s="65"/>
      <c r="AG142" s="65"/>
      <c r="AH142" s="65"/>
      <c r="AI142" s="65"/>
      <c r="AJ142" s="65"/>
      <c r="AK142" s="65"/>
      <c r="AL142" s="65"/>
      <c r="AM142" s="65"/>
      <c r="AN142" s="65"/>
      <c r="AO142" s="65"/>
      <c r="AP142" s="65"/>
      <c r="AQ142" s="65"/>
      <c r="AR142" s="65"/>
      <c r="AS142" s="65"/>
      <c r="AT142" s="65"/>
    </row>
    <row r="143" spans="2:46" s="32" customFormat="1" x14ac:dyDescent="0.2">
      <c r="B143" s="44"/>
      <c r="C143" s="44"/>
      <c r="D143" s="35"/>
      <c r="E143" s="35"/>
      <c r="F143" s="35"/>
      <c r="G143" s="35"/>
      <c r="H143" s="35"/>
      <c r="I143" s="35"/>
      <c r="J143" s="35"/>
      <c r="K143" s="35"/>
      <c r="L143" s="35"/>
      <c r="M143" s="35"/>
      <c r="N143" s="35"/>
      <c r="O143" s="35"/>
      <c r="P143" s="35"/>
      <c r="Q143" s="35"/>
      <c r="R143" s="35"/>
      <c r="S143" s="35"/>
      <c r="T143" s="35"/>
      <c r="U143" s="35"/>
      <c r="AE143" s="65"/>
      <c r="AF143" s="65"/>
      <c r="AG143" s="65"/>
      <c r="AH143" s="65"/>
      <c r="AI143" s="65"/>
      <c r="AJ143" s="65"/>
      <c r="AK143" s="65"/>
      <c r="AL143" s="65"/>
      <c r="AM143" s="65"/>
      <c r="AN143" s="65"/>
      <c r="AO143" s="65"/>
      <c r="AP143" s="65"/>
      <c r="AQ143" s="65"/>
      <c r="AR143" s="65"/>
      <c r="AS143" s="65"/>
      <c r="AT143" s="65"/>
    </row>
    <row r="144" spans="2:46" s="32" customFormat="1" x14ac:dyDescent="0.2">
      <c r="B144" s="44"/>
      <c r="C144" s="44"/>
      <c r="D144" s="35"/>
      <c r="E144" s="35"/>
      <c r="F144" s="35"/>
      <c r="G144" s="35"/>
      <c r="H144" s="35"/>
      <c r="I144" s="35"/>
      <c r="J144" s="35"/>
      <c r="K144" s="35"/>
      <c r="L144" s="35"/>
      <c r="M144" s="35"/>
      <c r="N144" s="35"/>
      <c r="O144" s="35"/>
      <c r="P144" s="35"/>
      <c r="Q144" s="35"/>
      <c r="R144" s="35"/>
      <c r="S144" s="35"/>
      <c r="T144" s="35"/>
      <c r="U144" s="35"/>
      <c r="AE144" s="65"/>
      <c r="AF144" s="65"/>
      <c r="AG144" s="65"/>
      <c r="AH144" s="65"/>
      <c r="AI144" s="65"/>
      <c r="AJ144" s="65"/>
      <c r="AK144" s="65"/>
      <c r="AL144" s="65"/>
      <c r="AM144" s="65"/>
      <c r="AN144" s="65"/>
      <c r="AO144" s="65"/>
      <c r="AP144" s="65"/>
      <c r="AQ144" s="65"/>
      <c r="AR144" s="65"/>
      <c r="AS144" s="65"/>
      <c r="AT144" s="65"/>
    </row>
    <row r="145" spans="2:46" s="32" customFormat="1" x14ac:dyDescent="0.2">
      <c r="B145" s="44"/>
      <c r="C145" s="44"/>
      <c r="D145" s="35"/>
      <c r="E145" s="35"/>
      <c r="F145" s="35"/>
      <c r="G145" s="35"/>
      <c r="H145" s="35"/>
      <c r="I145" s="35"/>
      <c r="J145" s="35"/>
      <c r="K145" s="35"/>
      <c r="L145" s="35"/>
      <c r="M145" s="35"/>
      <c r="N145" s="35"/>
      <c r="O145" s="35"/>
      <c r="P145" s="35"/>
      <c r="Q145" s="35"/>
      <c r="R145" s="35"/>
      <c r="S145" s="35"/>
      <c r="T145" s="35"/>
      <c r="U145" s="35"/>
      <c r="AE145" s="65"/>
      <c r="AF145" s="65"/>
      <c r="AG145" s="65"/>
      <c r="AH145" s="65"/>
      <c r="AI145" s="65"/>
      <c r="AJ145" s="65"/>
      <c r="AK145" s="65"/>
      <c r="AL145" s="65"/>
      <c r="AM145" s="65"/>
      <c r="AN145" s="65"/>
      <c r="AO145" s="65"/>
      <c r="AP145" s="65"/>
      <c r="AQ145" s="65"/>
      <c r="AR145" s="65"/>
      <c r="AS145" s="65"/>
      <c r="AT145" s="65"/>
    </row>
    <row r="146" spans="2:46" s="32" customFormat="1" x14ac:dyDescent="0.2">
      <c r="B146" s="44"/>
      <c r="C146" s="44"/>
      <c r="D146" s="35"/>
      <c r="E146" s="35"/>
      <c r="F146" s="35"/>
      <c r="G146" s="35"/>
      <c r="H146" s="35"/>
      <c r="I146" s="35"/>
      <c r="J146" s="35"/>
      <c r="K146" s="35"/>
      <c r="L146" s="35"/>
      <c r="M146" s="35"/>
      <c r="N146" s="35"/>
      <c r="O146" s="35"/>
      <c r="P146" s="35"/>
      <c r="Q146" s="35"/>
      <c r="R146" s="35"/>
      <c r="S146" s="35"/>
      <c r="T146" s="35"/>
      <c r="U146" s="35"/>
      <c r="AE146" s="65"/>
      <c r="AF146" s="65"/>
      <c r="AG146" s="65"/>
      <c r="AH146" s="65"/>
      <c r="AI146" s="65"/>
      <c r="AJ146" s="65"/>
      <c r="AK146" s="65"/>
      <c r="AL146" s="65"/>
      <c r="AM146" s="65"/>
      <c r="AN146" s="65"/>
      <c r="AO146" s="65"/>
      <c r="AP146" s="65"/>
      <c r="AQ146" s="65"/>
      <c r="AR146" s="65"/>
      <c r="AS146" s="65"/>
      <c r="AT146" s="65"/>
    </row>
    <row r="147" spans="2:46" s="32" customFormat="1" x14ac:dyDescent="0.2">
      <c r="B147" s="44"/>
      <c r="C147" s="44"/>
      <c r="D147" s="35"/>
      <c r="E147" s="35"/>
      <c r="F147" s="35"/>
      <c r="G147" s="35"/>
      <c r="H147" s="35"/>
      <c r="I147" s="35"/>
      <c r="J147" s="35"/>
      <c r="K147" s="35"/>
      <c r="L147" s="35"/>
      <c r="M147" s="35"/>
      <c r="N147" s="35"/>
      <c r="O147" s="35"/>
      <c r="P147" s="35"/>
      <c r="Q147" s="35"/>
      <c r="R147" s="35"/>
      <c r="S147" s="35"/>
      <c r="T147" s="35"/>
      <c r="U147" s="35"/>
      <c r="AE147" s="65"/>
      <c r="AF147" s="65"/>
      <c r="AG147" s="65"/>
      <c r="AH147" s="65"/>
      <c r="AI147" s="65"/>
      <c r="AJ147" s="65"/>
      <c r="AK147" s="65"/>
      <c r="AL147" s="65"/>
      <c r="AM147" s="65"/>
      <c r="AN147" s="65"/>
      <c r="AO147" s="65"/>
      <c r="AP147" s="65"/>
      <c r="AQ147" s="65"/>
      <c r="AR147" s="65"/>
      <c r="AS147" s="65"/>
      <c r="AT147" s="65"/>
    </row>
    <row r="148" spans="2:46" s="32" customFormat="1" x14ac:dyDescent="0.2">
      <c r="B148" s="44"/>
      <c r="C148" s="44"/>
      <c r="D148" s="35"/>
      <c r="E148" s="35"/>
      <c r="F148" s="35"/>
      <c r="G148" s="35"/>
      <c r="H148" s="35"/>
      <c r="I148" s="35"/>
      <c r="J148" s="35"/>
      <c r="K148" s="35"/>
      <c r="L148" s="35"/>
      <c r="M148" s="35"/>
      <c r="N148" s="35"/>
      <c r="O148" s="35"/>
      <c r="P148" s="35"/>
      <c r="Q148" s="35"/>
      <c r="R148" s="35"/>
      <c r="S148" s="35"/>
      <c r="T148" s="35"/>
      <c r="U148" s="35"/>
      <c r="AE148" s="65"/>
      <c r="AF148" s="65"/>
      <c r="AG148" s="65"/>
      <c r="AH148" s="65"/>
      <c r="AI148" s="65"/>
      <c r="AJ148" s="65"/>
      <c r="AK148" s="65"/>
      <c r="AL148" s="65"/>
      <c r="AM148" s="65"/>
      <c r="AN148" s="65"/>
      <c r="AO148" s="65"/>
      <c r="AP148" s="65"/>
      <c r="AQ148" s="65"/>
      <c r="AR148" s="65"/>
      <c r="AS148" s="65"/>
      <c r="AT148" s="65"/>
    </row>
    <row r="149" spans="2:46" s="32" customFormat="1" x14ac:dyDescent="0.2">
      <c r="B149" s="44"/>
      <c r="C149" s="44"/>
      <c r="D149" s="35"/>
      <c r="E149" s="35"/>
      <c r="F149" s="35"/>
      <c r="G149" s="35"/>
      <c r="H149" s="35"/>
      <c r="I149" s="35"/>
      <c r="J149" s="35"/>
      <c r="K149" s="35"/>
      <c r="L149" s="35"/>
      <c r="M149" s="35"/>
      <c r="N149" s="35"/>
      <c r="O149" s="35"/>
      <c r="P149" s="35"/>
      <c r="Q149" s="35"/>
      <c r="R149" s="35"/>
      <c r="S149" s="35"/>
      <c r="T149" s="35"/>
      <c r="U149" s="35"/>
      <c r="AE149" s="65"/>
      <c r="AF149" s="65"/>
      <c r="AG149" s="65"/>
      <c r="AH149" s="65"/>
      <c r="AI149" s="65"/>
      <c r="AJ149" s="65"/>
      <c r="AK149" s="65"/>
      <c r="AL149" s="65"/>
      <c r="AM149" s="65"/>
      <c r="AN149" s="65"/>
      <c r="AO149" s="65"/>
      <c r="AP149" s="65"/>
      <c r="AQ149" s="65"/>
      <c r="AR149" s="65"/>
      <c r="AS149" s="65"/>
      <c r="AT149" s="65"/>
    </row>
    <row r="150" spans="2:46" s="32" customFormat="1" x14ac:dyDescent="0.2">
      <c r="B150" s="44"/>
      <c r="C150" s="44"/>
      <c r="D150" s="35"/>
      <c r="E150" s="35"/>
      <c r="F150" s="35"/>
      <c r="G150" s="35"/>
      <c r="H150" s="35"/>
      <c r="I150" s="35"/>
      <c r="J150" s="35"/>
      <c r="K150" s="35"/>
      <c r="L150" s="35"/>
      <c r="M150" s="35"/>
      <c r="N150" s="35"/>
      <c r="O150" s="35"/>
      <c r="P150" s="35"/>
      <c r="Q150" s="35"/>
      <c r="R150" s="35"/>
      <c r="S150" s="35"/>
      <c r="T150" s="35"/>
      <c r="U150" s="35"/>
      <c r="AE150" s="65"/>
      <c r="AF150" s="65"/>
      <c r="AG150" s="65"/>
      <c r="AH150" s="65"/>
      <c r="AI150" s="65"/>
      <c r="AJ150" s="65"/>
      <c r="AK150" s="65"/>
      <c r="AL150" s="65"/>
      <c r="AM150" s="65"/>
      <c r="AN150" s="65"/>
      <c r="AO150" s="65"/>
      <c r="AP150" s="65"/>
      <c r="AQ150" s="65"/>
      <c r="AR150" s="65"/>
      <c r="AS150" s="65"/>
      <c r="AT150" s="65"/>
    </row>
    <row r="151" spans="2:46" s="32" customFormat="1" x14ac:dyDescent="0.2">
      <c r="B151" s="44"/>
      <c r="C151" s="44"/>
      <c r="D151" s="35"/>
      <c r="E151" s="35"/>
      <c r="F151" s="35"/>
      <c r="G151" s="35"/>
      <c r="H151" s="35"/>
      <c r="I151" s="35"/>
      <c r="J151" s="35"/>
      <c r="K151" s="35"/>
      <c r="L151" s="35"/>
      <c r="M151" s="35"/>
      <c r="N151" s="35"/>
      <c r="O151" s="35"/>
      <c r="P151" s="35"/>
      <c r="Q151" s="35"/>
      <c r="R151" s="35"/>
      <c r="S151" s="35"/>
      <c r="T151" s="35"/>
      <c r="U151" s="35"/>
      <c r="AE151" s="65"/>
      <c r="AF151" s="65"/>
      <c r="AG151" s="65"/>
      <c r="AH151" s="65"/>
      <c r="AI151" s="65"/>
      <c r="AJ151" s="65"/>
      <c r="AK151" s="65"/>
      <c r="AL151" s="65"/>
      <c r="AM151" s="65"/>
      <c r="AN151" s="65"/>
      <c r="AO151" s="65"/>
      <c r="AP151" s="65"/>
      <c r="AQ151" s="65"/>
      <c r="AR151" s="65"/>
      <c r="AS151" s="65"/>
      <c r="AT151" s="65"/>
    </row>
    <row r="152" spans="2:46" s="32" customFormat="1" x14ac:dyDescent="0.2">
      <c r="B152" s="44"/>
      <c r="C152" s="44"/>
      <c r="D152" s="35"/>
      <c r="E152" s="35"/>
      <c r="F152" s="35"/>
      <c r="G152" s="35"/>
      <c r="H152" s="35"/>
      <c r="I152" s="35"/>
      <c r="J152" s="35"/>
      <c r="K152" s="35"/>
      <c r="L152" s="35"/>
      <c r="M152" s="35"/>
      <c r="N152" s="35"/>
      <c r="O152" s="35"/>
      <c r="P152" s="35"/>
      <c r="Q152" s="35"/>
      <c r="R152" s="35"/>
      <c r="S152" s="35"/>
      <c r="T152" s="35"/>
      <c r="U152" s="35"/>
      <c r="AE152" s="65"/>
      <c r="AF152" s="65"/>
      <c r="AG152" s="65"/>
      <c r="AH152" s="65"/>
      <c r="AI152" s="65"/>
      <c r="AJ152" s="65"/>
      <c r="AK152" s="65"/>
      <c r="AL152" s="65"/>
      <c r="AM152" s="65"/>
      <c r="AN152" s="65"/>
      <c r="AO152" s="65"/>
      <c r="AP152" s="65"/>
      <c r="AQ152" s="65"/>
      <c r="AR152" s="65"/>
      <c r="AS152" s="65"/>
      <c r="AT152" s="65"/>
    </row>
    <row r="153" spans="2:46" s="32" customFormat="1" x14ac:dyDescent="0.2">
      <c r="B153" s="44"/>
      <c r="C153" s="44"/>
      <c r="D153" s="35"/>
      <c r="E153" s="35"/>
      <c r="F153" s="35"/>
      <c r="G153" s="35"/>
      <c r="H153" s="35"/>
      <c r="I153" s="35"/>
      <c r="J153" s="35"/>
      <c r="K153" s="35"/>
      <c r="L153" s="35"/>
      <c r="M153" s="35"/>
      <c r="N153" s="35"/>
      <c r="O153" s="35"/>
      <c r="P153" s="35"/>
      <c r="Q153" s="35"/>
      <c r="R153" s="35"/>
      <c r="S153" s="35"/>
      <c r="T153" s="35"/>
      <c r="U153" s="35"/>
      <c r="AE153" s="65"/>
      <c r="AF153" s="65"/>
      <c r="AG153" s="65"/>
      <c r="AH153" s="65"/>
      <c r="AI153" s="65"/>
      <c r="AJ153" s="65"/>
      <c r="AK153" s="65"/>
      <c r="AL153" s="65"/>
      <c r="AM153" s="65"/>
      <c r="AN153" s="65"/>
      <c r="AO153" s="65"/>
      <c r="AP153" s="65"/>
      <c r="AQ153" s="65"/>
      <c r="AR153" s="65"/>
      <c r="AS153" s="65"/>
      <c r="AT153" s="65"/>
    </row>
    <row r="154" spans="2:46" s="32" customFormat="1" x14ac:dyDescent="0.2">
      <c r="B154" s="44"/>
      <c r="C154" s="44"/>
      <c r="D154" s="35"/>
      <c r="E154" s="35"/>
      <c r="F154" s="35"/>
      <c r="G154" s="35"/>
      <c r="H154" s="35"/>
      <c r="I154" s="35"/>
      <c r="J154" s="35"/>
      <c r="K154" s="35"/>
      <c r="L154" s="35"/>
      <c r="M154" s="35"/>
      <c r="N154" s="35"/>
      <c r="O154" s="35"/>
      <c r="P154" s="35"/>
      <c r="Q154" s="35"/>
      <c r="R154" s="35"/>
      <c r="S154" s="35"/>
      <c r="T154" s="35"/>
      <c r="U154" s="35"/>
      <c r="AE154" s="65"/>
      <c r="AF154" s="65"/>
      <c r="AG154" s="65"/>
      <c r="AH154" s="65"/>
      <c r="AI154" s="65"/>
      <c r="AJ154" s="65"/>
      <c r="AK154" s="65"/>
      <c r="AL154" s="65"/>
      <c r="AM154" s="65"/>
      <c r="AN154" s="65"/>
      <c r="AO154" s="65"/>
      <c r="AP154" s="65"/>
      <c r="AQ154" s="65"/>
      <c r="AR154" s="65"/>
      <c r="AS154" s="65"/>
      <c r="AT154" s="65"/>
    </row>
    <row r="155" spans="2:46" s="32" customFormat="1" x14ac:dyDescent="0.2">
      <c r="B155" s="44"/>
      <c r="C155" s="44"/>
      <c r="D155" s="35"/>
      <c r="E155" s="35"/>
      <c r="F155" s="35"/>
      <c r="G155" s="35"/>
      <c r="H155" s="35"/>
      <c r="I155" s="35"/>
      <c r="J155" s="35"/>
      <c r="K155" s="35"/>
      <c r="L155" s="35"/>
      <c r="M155" s="35"/>
      <c r="N155" s="35"/>
      <c r="O155" s="35"/>
      <c r="P155" s="35"/>
      <c r="Q155" s="35"/>
      <c r="R155" s="35"/>
      <c r="S155" s="35"/>
      <c r="T155" s="35"/>
      <c r="U155" s="35"/>
      <c r="AE155" s="65"/>
      <c r="AF155" s="65"/>
      <c r="AG155" s="65"/>
      <c r="AH155" s="65"/>
      <c r="AI155" s="65"/>
      <c r="AJ155" s="65"/>
      <c r="AK155" s="65"/>
      <c r="AL155" s="65"/>
      <c r="AM155" s="65"/>
      <c r="AN155" s="65"/>
      <c r="AO155" s="65"/>
      <c r="AP155" s="65"/>
      <c r="AQ155" s="65"/>
      <c r="AR155" s="65"/>
      <c r="AS155" s="65"/>
      <c r="AT155" s="65"/>
    </row>
    <row r="156" spans="2:46" s="32" customFormat="1" x14ac:dyDescent="0.2">
      <c r="B156" s="44"/>
      <c r="C156" s="44"/>
      <c r="D156" s="35"/>
      <c r="E156" s="35"/>
      <c r="F156" s="35"/>
      <c r="G156" s="35"/>
      <c r="H156" s="35"/>
      <c r="I156" s="35"/>
      <c r="J156" s="35"/>
      <c r="K156" s="35"/>
      <c r="L156" s="35"/>
      <c r="M156" s="35"/>
      <c r="N156" s="35"/>
      <c r="O156" s="35"/>
      <c r="P156" s="35"/>
      <c r="Q156" s="35"/>
      <c r="R156" s="35"/>
      <c r="S156" s="35"/>
      <c r="T156" s="35"/>
      <c r="U156" s="35"/>
      <c r="AE156" s="65"/>
      <c r="AF156" s="65"/>
      <c r="AG156" s="65"/>
      <c r="AH156" s="65"/>
      <c r="AI156" s="65"/>
      <c r="AJ156" s="65"/>
      <c r="AK156" s="65"/>
      <c r="AL156" s="65"/>
      <c r="AM156" s="65"/>
      <c r="AN156" s="65"/>
      <c r="AO156" s="65"/>
      <c r="AP156" s="65"/>
      <c r="AQ156" s="65"/>
      <c r="AR156" s="65"/>
      <c r="AS156" s="65"/>
      <c r="AT156" s="65"/>
    </row>
    <row r="157" spans="2:46" s="32" customFormat="1" x14ac:dyDescent="0.2">
      <c r="B157" s="44"/>
      <c r="C157" s="44"/>
      <c r="D157" s="35"/>
      <c r="E157" s="35"/>
      <c r="F157" s="35"/>
      <c r="G157" s="35"/>
      <c r="H157" s="35"/>
      <c r="I157" s="35"/>
      <c r="J157" s="35"/>
      <c r="K157" s="35"/>
      <c r="L157" s="35"/>
      <c r="M157" s="35"/>
      <c r="N157" s="35"/>
      <c r="O157" s="35"/>
      <c r="P157" s="35"/>
      <c r="Q157" s="35"/>
      <c r="R157" s="35"/>
      <c r="S157" s="35"/>
      <c r="T157" s="35"/>
      <c r="U157" s="35"/>
      <c r="AE157" s="65"/>
      <c r="AF157" s="65"/>
      <c r="AG157" s="65"/>
      <c r="AH157" s="65"/>
      <c r="AI157" s="65"/>
      <c r="AJ157" s="65"/>
      <c r="AK157" s="65"/>
      <c r="AL157" s="65"/>
      <c r="AM157" s="65"/>
      <c r="AN157" s="65"/>
      <c r="AO157" s="65"/>
      <c r="AP157" s="65"/>
      <c r="AQ157" s="65"/>
      <c r="AR157" s="65"/>
      <c r="AS157" s="65"/>
      <c r="AT157" s="65"/>
    </row>
    <row r="158" spans="2:46" s="32" customFormat="1" x14ac:dyDescent="0.2">
      <c r="B158" s="44"/>
      <c r="C158" s="44"/>
      <c r="D158" s="35"/>
      <c r="E158" s="35"/>
      <c r="F158" s="35"/>
      <c r="G158" s="35"/>
      <c r="H158" s="35"/>
      <c r="I158" s="35"/>
      <c r="J158" s="35"/>
      <c r="K158" s="35"/>
      <c r="L158" s="35"/>
      <c r="M158" s="35"/>
      <c r="N158" s="35"/>
      <c r="O158" s="35"/>
      <c r="P158" s="35"/>
      <c r="Q158" s="35"/>
      <c r="R158" s="35"/>
      <c r="S158" s="35"/>
      <c r="T158" s="35"/>
      <c r="U158" s="35"/>
      <c r="AE158" s="65"/>
      <c r="AF158" s="65"/>
      <c r="AG158" s="65"/>
      <c r="AH158" s="65"/>
      <c r="AI158" s="65"/>
      <c r="AJ158" s="65"/>
      <c r="AK158" s="65"/>
      <c r="AL158" s="65"/>
      <c r="AM158" s="65"/>
      <c r="AN158" s="65"/>
      <c r="AO158" s="65"/>
      <c r="AP158" s="65"/>
      <c r="AQ158" s="65"/>
      <c r="AR158" s="65"/>
      <c r="AS158" s="65"/>
      <c r="AT158" s="65"/>
    </row>
    <row r="159" spans="2:46" s="32" customFormat="1" x14ac:dyDescent="0.2">
      <c r="B159" s="44"/>
      <c r="C159" s="44"/>
      <c r="D159" s="35"/>
      <c r="E159" s="35"/>
      <c r="F159" s="35"/>
      <c r="G159" s="35"/>
      <c r="H159" s="35"/>
      <c r="I159" s="35"/>
      <c r="J159" s="35"/>
      <c r="K159" s="35"/>
      <c r="L159" s="35"/>
      <c r="M159" s="35"/>
      <c r="N159" s="35"/>
      <c r="O159" s="35"/>
      <c r="P159" s="35"/>
      <c r="Q159" s="35"/>
      <c r="R159" s="35"/>
      <c r="S159" s="35"/>
      <c r="T159" s="35"/>
      <c r="U159" s="35"/>
      <c r="AE159" s="65"/>
      <c r="AF159" s="65"/>
      <c r="AG159" s="65"/>
      <c r="AH159" s="65"/>
      <c r="AI159" s="65"/>
      <c r="AJ159" s="65"/>
      <c r="AK159" s="65"/>
      <c r="AL159" s="65"/>
      <c r="AM159" s="65"/>
      <c r="AN159" s="65"/>
      <c r="AO159" s="65"/>
      <c r="AP159" s="65"/>
      <c r="AQ159" s="65"/>
      <c r="AR159" s="65"/>
      <c r="AS159" s="65"/>
      <c r="AT159" s="65"/>
    </row>
    <row r="160" spans="2:46" s="32" customFormat="1" x14ac:dyDescent="0.2">
      <c r="B160" s="44"/>
      <c r="C160" s="44"/>
      <c r="D160" s="35"/>
      <c r="E160" s="35"/>
      <c r="F160" s="35"/>
      <c r="G160" s="35"/>
      <c r="H160" s="35"/>
      <c r="I160" s="35"/>
      <c r="J160" s="35"/>
      <c r="K160" s="35"/>
      <c r="L160" s="35"/>
      <c r="M160" s="35"/>
      <c r="N160" s="35"/>
      <c r="O160" s="35"/>
      <c r="P160" s="35"/>
      <c r="Q160" s="35"/>
      <c r="R160" s="35"/>
      <c r="S160" s="35"/>
      <c r="T160" s="35"/>
      <c r="U160" s="35"/>
      <c r="AE160" s="65"/>
      <c r="AF160" s="65"/>
      <c r="AG160" s="65"/>
      <c r="AH160" s="65"/>
      <c r="AI160" s="65"/>
      <c r="AJ160" s="65"/>
      <c r="AK160" s="65"/>
      <c r="AL160" s="65"/>
      <c r="AM160" s="65"/>
      <c r="AN160" s="65"/>
      <c r="AO160" s="65"/>
      <c r="AP160" s="65"/>
      <c r="AQ160" s="65"/>
      <c r="AR160" s="65"/>
      <c r="AS160" s="65"/>
      <c r="AT160" s="65"/>
    </row>
    <row r="161" spans="2:46" s="32" customFormat="1" x14ac:dyDescent="0.2">
      <c r="B161" s="44"/>
      <c r="C161" s="44"/>
      <c r="D161" s="35"/>
      <c r="E161" s="35"/>
      <c r="F161" s="35"/>
      <c r="G161" s="35"/>
      <c r="H161" s="35"/>
      <c r="I161" s="35"/>
      <c r="J161" s="35"/>
      <c r="K161" s="35"/>
      <c r="L161" s="35"/>
      <c r="M161" s="35"/>
      <c r="N161" s="35"/>
      <c r="O161" s="35"/>
      <c r="P161" s="35"/>
      <c r="Q161" s="35"/>
      <c r="R161" s="35"/>
      <c r="S161" s="35"/>
      <c r="T161" s="35"/>
      <c r="U161" s="35"/>
      <c r="AE161" s="65"/>
      <c r="AF161" s="65"/>
      <c r="AG161" s="65"/>
      <c r="AH161" s="65"/>
      <c r="AI161" s="65"/>
      <c r="AJ161" s="65"/>
      <c r="AK161" s="65"/>
      <c r="AL161" s="65"/>
      <c r="AM161" s="65"/>
      <c r="AN161" s="65"/>
      <c r="AO161" s="65"/>
      <c r="AP161" s="65"/>
      <c r="AQ161" s="65"/>
      <c r="AR161" s="65"/>
      <c r="AS161" s="65"/>
      <c r="AT161" s="65"/>
    </row>
    <row r="162" spans="2:46" s="32" customFormat="1" x14ac:dyDescent="0.2">
      <c r="B162" s="44"/>
      <c r="C162" s="44"/>
      <c r="D162" s="35"/>
      <c r="E162" s="35"/>
      <c r="F162" s="35"/>
      <c r="G162" s="35"/>
      <c r="H162" s="35"/>
      <c r="I162" s="35"/>
      <c r="J162" s="35"/>
      <c r="K162" s="35"/>
      <c r="L162" s="35"/>
      <c r="M162" s="35"/>
      <c r="N162" s="35"/>
      <c r="O162" s="35"/>
      <c r="P162" s="35"/>
      <c r="Q162" s="35"/>
      <c r="R162" s="35"/>
      <c r="S162" s="35"/>
      <c r="T162" s="35"/>
      <c r="U162" s="35"/>
      <c r="AE162" s="65"/>
      <c r="AF162" s="65"/>
      <c r="AG162" s="65"/>
      <c r="AH162" s="65"/>
      <c r="AI162" s="65"/>
      <c r="AJ162" s="65"/>
      <c r="AK162" s="65"/>
      <c r="AL162" s="65"/>
      <c r="AM162" s="65"/>
      <c r="AN162" s="65"/>
      <c r="AO162" s="65"/>
      <c r="AP162" s="65"/>
      <c r="AQ162" s="65"/>
      <c r="AR162" s="65"/>
      <c r="AS162" s="65"/>
      <c r="AT162" s="65"/>
    </row>
    <row r="163" spans="2:46" s="32" customFormat="1" x14ac:dyDescent="0.2">
      <c r="B163" s="44"/>
      <c r="C163" s="44"/>
      <c r="D163" s="35"/>
      <c r="E163" s="35"/>
      <c r="F163" s="35"/>
      <c r="G163" s="35"/>
      <c r="H163" s="35"/>
      <c r="I163" s="35"/>
      <c r="J163" s="35"/>
      <c r="K163" s="35"/>
      <c r="L163" s="35"/>
      <c r="M163" s="35"/>
      <c r="N163" s="35"/>
      <c r="O163" s="35"/>
      <c r="P163" s="35"/>
      <c r="Q163" s="35"/>
      <c r="R163" s="35"/>
      <c r="S163" s="35"/>
      <c r="T163" s="35"/>
      <c r="U163" s="35"/>
      <c r="AE163" s="65"/>
      <c r="AF163" s="65"/>
      <c r="AG163" s="65"/>
      <c r="AH163" s="65"/>
      <c r="AI163" s="65"/>
      <c r="AJ163" s="65"/>
      <c r="AK163" s="65"/>
      <c r="AL163" s="65"/>
      <c r="AM163" s="65"/>
      <c r="AN163" s="65"/>
      <c r="AO163" s="65"/>
      <c r="AP163" s="65"/>
      <c r="AQ163" s="65"/>
      <c r="AR163" s="65"/>
      <c r="AS163" s="65"/>
      <c r="AT163" s="65"/>
    </row>
    <row r="164" spans="2:46" s="32" customFormat="1" x14ac:dyDescent="0.2">
      <c r="B164" s="44"/>
      <c r="C164" s="44"/>
      <c r="D164" s="35"/>
      <c r="E164" s="35"/>
      <c r="F164" s="35"/>
      <c r="G164" s="35"/>
      <c r="H164" s="35"/>
      <c r="I164" s="35"/>
      <c r="J164" s="35"/>
      <c r="K164" s="35"/>
      <c r="L164" s="35"/>
      <c r="M164" s="35"/>
      <c r="N164" s="35"/>
      <c r="O164" s="35"/>
      <c r="P164" s="35"/>
      <c r="Q164" s="35"/>
      <c r="R164" s="35"/>
      <c r="S164" s="35"/>
      <c r="T164" s="35"/>
      <c r="U164" s="35"/>
      <c r="AE164" s="65"/>
      <c r="AF164" s="65"/>
      <c r="AG164" s="65"/>
      <c r="AH164" s="65"/>
      <c r="AI164" s="65"/>
      <c r="AJ164" s="65"/>
      <c r="AK164" s="65"/>
      <c r="AL164" s="65"/>
      <c r="AM164" s="65"/>
      <c r="AN164" s="65"/>
      <c r="AO164" s="65"/>
      <c r="AP164" s="65"/>
      <c r="AQ164" s="65"/>
      <c r="AR164" s="65"/>
      <c r="AS164" s="65"/>
      <c r="AT164" s="65"/>
    </row>
    <row r="165" spans="2:46" s="32" customFormat="1" x14ac:dyDescent="0.2">
      <c r="B165" s="44"/>
      <c r="C165" s="44"/>
      <c r="D165" s="35"/>
      <c r="E165" s="35"/>
      <c r="F165" s="35"/>
      <c r="G165" s="35"/>
      <c r="H165" s="35"/>
      <c r="I165" s="35"/>
      <c r="J165" s="35"/>
      <c r="K165" s="35"/>
      <c r="L165" s="35"/>
      <c r="M165" s="35"/>
      <c r="N165" s="35"/>
      <c r="O165" s="35"/>
      <c r="P165" s="35"/>
      <c r="Q165" s="35"/>
      <c r="R165" s="35"/>
      <c r="S165" s="35"/>
      <c r="T165" s="35"/>
      <c r="U165" s="35"/>
      <c r="AE165" s="65"/>
      <c r="AF165" s="65"/>
      <c r="AG165" s="65"/>
      <c r="AH165" s="65"/>
      <c r="AI165" s="65"/>
      <c r="AJ165" s="65"/>
      <c r="AK165" s="65"/>
      <c r="AL165" s="65"/>
      <c r="AM165" s="65"/>
      <c r="AN165" s="65"/>
      <c r="AO165" s="65"/>
      <c r="AP165" s="65"/>
      <c r="AQ165" s="65"/>
      <c r="AR165" s="65"/>
      <c r="AS165" s="65"/>
      <c r="AT165" s="65"/>
    </row>
    <row r="166" spans="2:46" s="32" customFormat="1" x14ac:dyDescent="0.2">
      <c r="B166" s="44"/>
      <c r="C166" s="44"/>
      <c r="D166" s="35"/>
      <c r="E166" s="35"/>
      <c r="F166" s="35"/>
      <c r="G166" s="35"/>
      <c r="H166" s="35"/>
      <c r="I166" s="35"/>
      <c r="J166" s="35"/>
      <c r="K166" s="35"/>
      <c r="L166" s="35"/>
      <c r="M166" s="35"/>
      <c r="N166" s="35"/>
      <c r="O166" s="35"/>
      <c r="P166" s="35"/>
      <c r="Q166" s="35"/>
      <c r="R166" s="35"/>
      <c r="S166" s="35"/>
      <c r="T166" s="35"/>
      <c r="U166" s="35"/>
      <c r="AE166" s="65"/>
      <c r="AF166" s="65"/>
      <c r="AG166" s="65"/>
      <c r="AH166" s="65"/>
      <c r="AI166" s="65"/>
      <c r="AJ166" s="65"/>
      <c r="AK166" s="65"/>
      <c r="AL166" s="65"/>
      <c r="AM166" s="65"/>
      <c r="AN166" s="65"/>
      <c r="AO166" s="65"/>
      <c r="AP166" s="65"/>
      <c r="AQ166" s="65"/>
      <c r="AR166" s="65"/>
      <c r="AS166" s="65"/>
      <c r="AT166" s="65"/>
    </row>
    <row r="167" spans="2:46" s="32" customFormat="1" x14ac:dyDescent="0.2">
      <c r="B167" s="44"/>
      <c r="C167" s="44"/>
      <c r="D167" s="35"/>
      <c r="E167" s="35"/>
      <c r="F167" s="35"/>
      <c r="G167" s="35"/>
      <c r="H167" s="35"/>
      <c r="I167" s="35"/>
      <c r="J167" s="35"/>
      <c r="K167" s="35"/>
      <c r="L167" s="35"/>
      <c r="M167" s="35"/>
      <c r="N167" s="35"/>
      <c r="O167" s="35"/>
      <c r="P167" s="35"/>
      <c r="Q167" s="35"/>
      <c r="R167" s="35"/>
      <c r="S167" s="35"/>
      <c r="T167" s="35"/>
      <c r="U167" s="35"/>
      <c r="AE167" s="65"/>
      <c r="AF167" s="65"/>
      <c r="AG167" s="65"/>
      <c r="AH167" s="65"/>
      <c r="AI167" s="65"/>
      <c r="AJ167" s="65"/>
      <c r="AK167" s="65"/>
      <c r="AL167" s="65"/>
      <c r="AM167" s="65"/>
      <c r="AN167" s="65"/>
      <c r="AO167" s="65"/>
      <c r="AP167" s="65"/>
      <c r="AQ167" s="65"/>
      <c r="AR167" s="65"/>
      <c r="AS167" s="65"/>
      <c r="AT167" s="65"/>
    </row>
    <row r="168" spans="2:46" s="32" customFormat="1" x14ac:dyDescent="0.2">
      <c r="B168" s="44"/>
      <c r="C168" s="44"/>
      <c r="D168" s="35"/>
      <c r="E168" s="35"/>
      <c r="F168" s="35"/>
      <c r="G168" s="35"/>
      <c r="H168" s="35"/>
      <c r="I168" s="35"/>
      <c r="J168" s="35"/>
      <c r="K168" s="35"/>
      <c r="L168" s="35"/>
      <c r="M168" s="35"/>
      <c r="N168" s="35"/>
      <c r="O168" s="35"/>
      <c r="P168" s="35"/>
      <c r="Q168" s="35"/>
      <c r="R168" s="35"/>
      <c r="S168" s="35"/>
      <c r="T168" s="35"/>
      <c r="U168" s="35"/>
      <c r="AE168" s="65"/>
      <c r="AF168" s="65"/>
      <c r="AG168" s="65"/>
      <c r="AH168" s="65"/>
      <c r="AI168" s="65"/>
      <c r="AJ168" s="65"/>
      <c r="AK168" s="65"/>
      <c r="AL168" s="65"/>
      <c r="AM168" s="65"/>
      <c r="AN168" s="65"/>
      <c r="AO168" s="65"/>
      <c r="AP168" s="65"/>
      <c r="AQ168" s="65"/>
      <c r="AR168" s="65"/>
      <c r="AS168" s="65"/>
      <c r="AT168" s="65"/>
    </row>
    <row r="169" spans="2:46" s="32" customFormat="1" x14ac:dyDescent="0.2">
      <c r="B169" s="44"/>
      <c r="C169" s="44"/>
      <c r="D169" s="35"/>
      <c r="E169" s="35"/>
      <c r="F169" s="35"/>
      <c r="G169" s="35"/>
      <c r="H169" s="35"/>
      <c r="I169" s="35"/>
      <c r="J169" s="35"/>
      <c r="K169" s="35"/>
      <c r="L169" s="35"/>
      <c r="M169" s="35"/>
      <c r="N169" s="35"/>
      <c r="O169" s="35"/>
      <c r="P169" s="35"/>
      <c r="Q169" s="35"/>
      <c r="R169" s="35"/>
      <c r="S169" s="35"/>
      <c r="T169" s="35"/>
      <c r="U169" s="35"/>
      <c r="AE169" s="65"/>
      <c r="AF169" s="65"/>
      <c r="AG169" s="65"/>
      <c r="AH169" s="65"/>
      <c r="AI169" s="65"/>
      <c r="AJ169" s="65"/>
      <c r="AK169" s="65"/>
      <c r="AL169" s="65"/>
      <c r="AM169" s="65"/>
      <c r="AN169" s="65"/>
      <c r="AO169" s="65"/>
      <c r="AP169" s="65"/>
      <c r="AQ169" s="65"/>
      <c r="AR169" s="65"/>
      <c r="AS169" s="65"/>
      <c r="AT169" s="65"/>
    </row>
    <row r="170" spans="2:46" s="32" customFormat="1" x14ac:dyDescent="0.2">
      <c r="B170" s="44"/>
      <c r="C170" s="44"/>
      <c r="D170" s="35"/>
      <c r="E170" s="35"/>
      <c r="F170" s="35"/>
      <c r="G170" s="35"/>
      <c r="H170" s="35"/>
      <c r="I170" s="35"/>
      <c r="J170" s="35"/>
      <c r="K170" s="35"/>
      <c r="L170" s="35"/>
      <c r="M170" s="35"/>
      <c r="N170" s="35"/>
      <c r="O170" s="35"/>
      <c r="P170" s="35"/>
      <c r="Q170" s="35"/>
      <c r="R170" s="35"/>
      <c r="S170" s="35"/>
      <c r="T170" s="35"/>
      <c r="U170" s="35"/>
      <c r="AE170" s="65"/>
      <c r="AF170" s="65"/>
      <c r="AG170" s="65"/>
      <c r="AH170" s="65"/>
      <c r="AI170" s="65"/>
      <c r="AJ170" s="65"/>
      <c r="AK170" s="65"/>
      <c r="AL170" s="65"/>
      <c r="AM170" s="65"/>
      <c r="AN170" s="65"/>
      <c r="AO170" s="65"/>
      <c r="AP170" s="65"/>
      <c r="AQ170" s="65"/>
      <c r="AR170" s="65"/>
      <c r="AS170" s="65"/>
      <c r="AT170" s="65"/>
    </row>
    <row r="171" spans="2:46" s="32" customFormat="1" x14ac:dyDescent="0.2">
      <c r="B171" s="44"/>
      <c r="C171" s="44"/>
      <c r="D171" s="35"/>
      <c r="E171" s="35"/>
      <c r="F171" s="35"/>
      <c r="G171" s="35"/>
      <c r="H171" s="35"/>
      <c r="I171" s="35"/>
      <c r="J171" s="35"/>
      <c r="K171" s="35"/>
      <c r="L171" s="35"/>
      <c r="M171" s="35"/>
      <c r="N171" s="35"/>
      <c r="O171" s="35"/>
      <c r="P171" s="35"/>
      <c r="Q171" s="35"/>
      <c r="R171" s="35"/>
      <c r="S171" s="35"/>
      <c r="T171" s="35"/>
      <c r="U171" s="35"/>
      <c r="AE171" s="65"/>
      <c r="AF171" s="65"/>
      <c r="AG171" s="65"/>
      <c r="AH171" s="65"/>
      <c r="AI171" s="65"/>
      <c r="AJ171" s="65"/>
      <c r="AK171" s="65"/>
      <c r="AL171" s="65"/>
      <c r="AM171" s="65"/>
      <c r="AN171" s="65"/>
      <c r="AO171" s="65"/>
      <c r="AP171" s="65"/>
      <c r="AQ171" s="65"/>
      <c r="AR171" s="65"/>
      <c r="AS171" s="65"/>
      <c r="AT171" s="65"/>
    </row>
    <row r="172" spans="2:46" s="32" customFormat="1" x14ac:dyDescent="0.2">
      <c r="B172" s="44"/>
      <c r="C172" s="44"/>
      <c r="D172" s="35"/>
      <c r="E172" s="35"/>
      <c r="F172" s="35"/>
      <c r="G172" s="35"/>
      <c r="H172" s="35"/>
      <c r="I172" s="35"/>
      <c r="J172" s="35"/>
      <c r="K172" s="35"/>
      <c r="L172" s="35"/>
      <c r="M172" s="35"/>
      <c r="N172" s="35"/>
      <c r="O172" s="35"/>
      <c r="P172" s="35"/>
      <c r="Q172" s="35"/>
      <c r="R172" s="35"/>
      <c r="S172" s="35"/>
      <c r="T172" s="35"/>
      <c r="U172" s="35"/>
      <c r="AE172" s="65"/>
      <c r="AF172" s="65"/>
      <c r="AG172" s="65"/>
      <c r="AH172" s="65"/>
      <c r="AI172" s="65"/>
      <c r="AJ172" s="65"/>
      <c r="AK172" s="65"/>
      <c r="AL172" s="65"/>
      <c r="AM172" s="65"/>
      <c r="AN172" s="65"/>
      <c r="AO172" s="65"/>
      <c r="AP172" s="65"/>
      <c r="AQ172" s="65"/>
      <c r="AR172" s="65"/>
      <c r="AS172" s="65"/>
      <c r="AT172" s="65"/>
    </row>
    <row r="173" spans="2:46" s="32" customFormat="1" x14ac:dyDescent="0.2">
      <c r="B173" s="44"/>
      <c r="C173" s="44"/>
      <c r="D173" s="35"/>
      <c r="E173" s="35"/>
      <c r="F173" s="35"/>
      <c r="G173" s="35"/>
      <c r="H173" s="35"/>
      <c r="I173" s="35"/>
      <c r="J173" s="35"/>
      <c r="K173" s="35"/>
      <c r="L173" s="35"/>
      <c r="M173" s="35"/>
      <c r="N173" s="35"/>
      <c r="O173" s="35"/>
      <c r="P173" s="35"/>
      <c r="Q173" s="35"/>
      <c r="R173" s="35"/>
      <c r="S173" s="35"/>
      <c r="T173" s="35"/>
      <c r="U173" s="35"/>
      <c r="AE173" s="65"/>
      <c r="AF173" s="65"/>
      <c r="AG173" s="65"/>
      <c r="AH173" s="65"/>
      <c r="AI173" s="65"/>
      <c r="AJ173" s="65"/>
      <c r="AK173" s="65"/>
      <c r="AL173" s="65"/>
      <c r="AM173" s="65"/>
      <c r="AN173" s="65"/>
      <c r="AO173" s="65"/>
      <c r="AP173" s="65"/>
      <c r="AQ173" s="65"/>
      <c r="AR173" s="65"/>
      <c r="AS173" s="65"/>
      <c r="AT173" s="65"/>
    </row>
    <row r="174" spans="2:46" s="32" customFormat="1" x14ac:dyDescent="0.2">
      <c r="B174" s="44"/>
      <c r="C174" s="44"/>
      <c r="D174" s="35"/>
      <c r="E174" s="35"/>
      <c r="F174" s="35"/>
      <c r="G174" s="35"/>
      <c r="H174" s="35"/>
      <c r="I174" s="35"/>
      <c r="J174" s="35"/>
      <c r="K174" s="35"/>
      <c r="L174" s="35"/>
      <c r="M174" s="35"/>
      <c r="N174" s="35"/>
      <c r="O174" s="35"/>
      <c r="P174" s="35"/>
      <c r="Q174" s="35"/>
      <c r="R174" s="35"/>
      <c r="S174" s="35"/>
      <c r="T174" s="35"/>
      <c r="U174" s="35"/>
      <c r="AE174" s="65"/>
      <c r="AF174" s="65"/>
      <c r="AG174" s="65"/>
      <c r="AH174" s="65"/>
      <c r="AI174" s="65"/>
      <c r="AJ174" s="65"/>
      <c r="AK174" s="65"/>
      <c r="AL174" s="65"/>
      <c r="AM174" s="65"/>
      <c r="AN174" s="65"/>
      <c r="AO174" s="65"/>
      <c r="AP174" s="65"/>
      <c r="AQ174" s="65"/>
      <c r="AR174" s="65"/>
      <c r="AS174" s="65"/>
      <c r="AT174" s="65"/>
    </row>
    <row r="175" spans="2:46" s="32" customFormat="1" x14ac:dyDescent="0.2">
      <c r="B175" s="44"/>
      <c r="C175" s="44"/>
      <c r="D175" s="35"/>
      <c r="E175" s="35"/>
      <c r="F175" s="35"/>
      <c r="G175" s="35"/>
      <c r="H175" s="35"/>
      <c r="I175" s="35"/>
      <c r="J175" s="35"/>
      <c r="K175" s="35"/>
      <c r="L175" s="35"/>
      <c r="M175" s="35"/>
      <c r="N175" s="35"/>
      <c r="O175" s="35"/>
      <c r="P175" s="35"/>
      <c r="Q175" s="35"/>
      <c r="R175" s="35"/>
      <c r="S175" s="35"/>
      <c r="T175" s="35"/>
      <c r="U175" s="35"/>
      <c r="AE175" s="65"/>
      <c r="AF175" s="65"/>
      <c r="AG175" s="65"/>
      <c r="AH175" s="65"/>
      <c r="AI175" s="65"/>
      <c r="AJ175" s="65"/>
      <c r="AK175" s="65"/>
      <c r="AL175" s="65"/>
      <c r="AM175" s="65"/>
      <c r="AN175" s="65"/>
      <c r="AO175" s="65"/>
      <c r="AP175" s="65"/>
      <c r="AQ175" s="65"/>
      <c r="AR175" s="65"/>
      <c r="AS175" s="65"/>
      <c r="AT175" s="65"/>
    </row>
    <row r="176" spans="2:46" s="32" customFormat="1" x14ac:dyDescent="0.2">
      <c r="B176" s="44"/>
      <c r="C176" s="44"/>
      <c r="D176" s="35"/>
      <c r="E176" s="35"/>
      <c r="F176" s="35"/>
      <c r="G176" s="35"/>
      <c r="H176" s="35"/>
      <c r="I176" s="35"/>
      <c r="J176" s="35"/>
      <c r="K176" s="35"/>
      <c r="L176" s="35"/>
      <c r="M176" s="35"/>
      <c r="N176" s="35"/>
      <c r="O176" s="35"/>
      <c r="P176" s="35"/>
      <c r="Q176" s="35"/>
      <c r="R176" s="35"/>
      <c r="S176" s="35"/>
      <c r="T176" s="35"/>
      <c r="U176" s="35"/>
      <c r="AE176" s="65"/>
      <c r="AF176" s="65"/>
      <c r="AG176" s="65"/>
      <c r="AH176" s="65"/>
      <c r="AI176" s="65"/>
      <c r="AJ176" s="65"/>
      <c r="AK176" s="65"/>
      <c r="AL176" s="65"/>
      <c r="AM176" s="65"/>
      <c r="AN176" s="65"/>
      <c r="AO176" s="65"/>
      <c r="AP176" s="65"/>
      <c r="AQ176" s="65"/>
      <c r="AR176" s="65"/>
      <c r="AS176" s="65"/>
      <c r="AT176" s="65"/>
    </row>
    <row r="177" spans="2:46" s="32" customFormat="1" x14ac:dyDescent="0.2">
      <c r="B177" s="44"/>
      <c r="C177" s="44"/>
      <c r="D177" s="35"/>
      <c r="E177" s="35"/>
      <c r="F177" s="35"/>
      <c r="G177" s="35"/>
      <c r="H177" s="35"/>
      <c r="I177" s="35"/>
      <c r="J177" s="35"/>
      <c r="K177" s="35"/>
      <c r="L177" s="35"/>
      <c r="M177" s="35"/>
      <c r="N177" s="35"/>
      <c r="O177" s="35"/>
      <c r="P177" s="35"/>
      <c r="Q177" s="35"/>
      <c r="R177" s="35"/>
      <c r="S177" s="35"/>
      <c r="T177" s="35"/>
      <c r="U177" s="35"/>
      <c r="AE177" s="65"/>
      <c r="AF177" s="65"/>
      <c r="AG177" s="65"/>
      <c r="AH177" s="65"/>
      <c r="AI177" s="65"/>
      <c r="AJ177" s="65"/>
      <c r="AK177" s="65"/>
      <c r="AL177" s="65"/>
      <c r="AM177" s="65"/>
      <c r="AN177" s="65"/>
      <c r="AO177" s="65"/>
      <c r="AP177" s="65"/>
      <c r="AQ177" s="65"/>
      <c r="AR177" s="65"/>
      <c r="AS177" s="65"/>
      <c r="AT177" s="65"/>
    </row>
    <row r="178" spans="2:46" s="32" customFormat="1" x14ac:dyDescent="0.2">
      <c r="B178" s="44"/>
      <c r="C178" s="44"/>
      <c r="D178" s="35"/>
      <c r="E178" s="35"/>
      <c r="F178" s="35"/>
      <c r="G178" s="35"/>
      <c r="H178" s="35"/>
      <c r="I178" s="35"/>
      <c r="J178" s="35"/>
      <c r="K178" s="35"/>
      <c r="L178" s="35"/>
      <c r="M178" s="35"/>
      <c r="N178" s="35"/>
      <c r="O178" s="35"/>
      <c r="P178" s="35"/>
      <c r="Q178" s="35"/>
      <c r="R178" s="35"/>
      <c r="S178" s="35"/>
      <c r="T178" s="35"/>
      <c r="U178" s="35"/>
      <c r="AE178" s="65"/>
      <c r="AF178" s="65"/>
      <c r="AG178" s="65"/>
      <c r="AH178" s="65"/>
      <c r="AI178" s="65"/>
      <c r="AJ178" s="65"/>
      <c r="AK178" s="65"/>
      <c r="AL178" s="65"/>
      <c r="AM178" s="65"/>
      <c r="AN178" s="65"/>
      <c r="AO178" s="65"/>
      <c r="AP178" s="65"/>
      <c r="AQ178" s="65"/>
      <c r="AR178" s="65"/>
      <c r="AS178" s="65"/>
      <c r="AT178" s="65"/>
    </row>
    <row r="179" spans="2:46" s="32" customFormat="1" x14ac:dyDescent="0.2">
      <c r="B179" s="44"/>
      <c r="C179" s="44"/>
      <c r="D179" s="35"/>
      <c r="E179" s="35"/>
      <c r="F179" s="35"/>
      <c r="G179" s="35"/>
      <c r="H179" s="35"/>
      <c r="I179" s="35"/>
      <c r="J179" s="35"/>
      <c r="K179" s="35"/>
      <c r="L179" s="35"/>
      <c r="M179" s="35"/>
      <c r="N179" s="35"/>
      <c r="O179" s="35"/>
      <c r="P179" s="35"/>
      <c r="Q179" s="35"/>
      <c r="R179" s="35"/>
      <c r="S179" s="35"/>
      <c r="T179" s="35"/>
      <c r="U179" s="35"/>
      <c r="AE179" s="65"/>
      <c r="AF179" s="65"/>
      <c r="AG179" s="65"/>
      <c r="AH179" s="65"/>
      <c r="AI179" s="65"/>
      <c r="AJ179" s="65"/>
      <c r="AK179" s="65"/>
      <c r="AL179" s="65"/>
      <c r="AM179" s="65"/>
      <c r="AN179" s="65"/>
      <c r="AO179" s="65"/>
      <c r="AP179" s="65"/>
      <c r="AQ179" s="65"/>
      <c r="AR179" s="65"/>
      <c r="AS179" s="65"/>
      <c r="AT179" s="65"/>
    </row>
    <row r="180" spans="2:46" s="32" customFormat="1" x14ac:dyDescent="0.2">
      <c r="B180" s="44"/>
      <c r="C180" s="44"/>
      <c r="D180" s="35"/>
      <c r="E180" s="35"/>
      <c r="F180" s="35"/>
      <c r="G180" s="35"/>
      <c r="H180" s="35"/>
      <c r="I180" s="35"/>
      <c r="J180" s="35"/>
      <c r="K180" s="35"/>
      <c r="L180" s="35"/>
      <c r="M180" s="35"/>
      <c r="N180" s="35"/>
      <c r="O180" s="35"/>
      <c r="P180" s="35"/>
      <c r="Q180" s="35"/>
      <c r="R180" s="35"/>
      <c r="S180" s="35"/>
      <c r="T180" s="35"/>
      <c r="U180" s="35"/>
      <c r="AE180" s="65"/>
      <c r="AF180" s="65"/>
      <c r="AG180" s="65"/>
      <c r="AH180" s="65"/>
      <c r="AI180" s="65"/>
      <c r="AJ180" s="65"/>
      <c r="AK180" s="65"/>
      <c r="AL180" s="65"/>
      <c r="AM180" s="65"/>
      <c r="AN180" s="65"/>
      <c r="AO180" s="65"/>
      <c r="AP180" s="65"/>
      <c r="AQ180" s="65"/>
      <c r="AR180" s="65"/>
      <c r="AS180" s="65"/>
      <c r="AT180" s="65"/>
    </row>
    <row r="181" spans="2:46" s="32" customFormat="1" x14ac:dyDescent="0.2">
      <c r="B181" s="44"/>
      <c r="C181" s="44"/>
      <c r="D181" s="35"/>
      <c r="E181" s="35"/>
      <c r="F181" s="35"/>
      <c r="G181" s="35"/>
      <c r="H181" s="35"/>
      <c r="I181" s="35"/>
      <c r="J181" s="35"/>
      <c r="K181" s="35"/>
      <c r="L181" s="35"/>
      <c r="M181" s="35"/>
      <c r="N181" s="35"/>
      <c r="O181" s="35"/>
      <c r="P181" s="35"/>
      <c r="Q181" s="35"/>
      <c r="R181" s="35"/>
      <c r="S181" s="35"/>
      <c r="T181" s="35"/>
      <c r="U181" s="35"/>
      <c r="AE181" s="65"/>
      <c r="AF181" s="65"/>
      <c r="AG181" s="65"/>
      <c r="AH181" s="65"/>
      <c r="AI181" s="65"/>
      <c r="AJ181" s="65"/>
      <c r="AK181" s="65"/>
      <c r="AL181" s="65"/>
      <c r="AM181" s="65"/>
      <c r="AN181" s="65"/>
      <c r="AO181" s="65"/>
      <c r="AP181" s="65"/>
      <c r="AQ181" s="65"/>
      <c r="AR181" s="65"/>
      <c r="AS181" s="65"/>
      <c r="AT181" s="65"/>
    </row>
    <row r="182" spans="2:46" s="32" customFormat="1" x14ac:dyDescent="0.2">
      <c r="B182" s="44"/>
      <c r="C182" s="44"/>
      <c r="D182" s="35"/>
      <c r="E182" s="35"/>
      <c r="F182" s="35"/>
      <c r="G182" s="35"/>
      <c r="H182" s="35"/>
      <c r="I182" s="35"/>
      <c r="J182" s="35"/>
      <c r="K182" s="35"/>
      <c r="L182" s="35"/>
      <c r="M182" s="35"/>
      <c r="N182" s="35"/>
      <c r="O182" s="35"/>
      <c r="P182" s="35"/>
      <c r="Q182" s="35"/>
      <c r="R182" s="35"/>
      <c r="S182" s="35"/>
      <c r="T182" s="35"/>
      <c r="U182" s="35"/>
      <c r="AE182" s="65"/>
      <c r="AF182" s="65"/>
      <c r="AG182" s="65"/>
      <c r="AH182" s="65"/>
      <c r="AI182" s="65"/>
      <c r="AJ182" s="65"/>
      <c r="AK182" s="65"/>
      <c r="AL182" s="65"/>
      <c r="AM182" s="65"/>
      <c r="AN182" s="65"/>
      <c r="AO182" s="65"/>
      <c r="AP182" s="65"/>
      <c r="AQ182" s="65"/>
      <c r="AR182" s="65"/>
      <c r="AS182" s="65"/>
      <c r="AT182" s="65"/>
    </row>
    <row r="183" spans="2:46" s="32" customFormat="1" x14ac:dyDescent="0.2">
      <c r="B183" s="44"/>
      <c r="C183" s="44"/>
      <c r="D183" s="35"/>
      <c r="E183" s="35"/>
      <c r="F183" s="35"/>
      <c r="G183" s="35"/>
      <c r="H183" s="35"/>
      <c r="I183" s="35"/>
      <c r="J183" s="35"/>
      <c r="K183" s="35"/>
      <c r="L183" s="35"/>
      <c r="M183" s="35"/>
      <c r="N183" s="35"/>
      <c r="O183" s="35"/>
      <c r="P183" s="35"/>
      <c r="Q183" s="35"/>
      <c r="R183" s="35"/>
      <c r="S183" s="35"/>
      <c r="T183" s="35"/>
      <c r="U183" s="35"/>
      <c r="AE183" s="65"/>
      <c r="AF183" s="65"/>
      <c r="AG183" s="65"/>
      <c r="AH183" s="65"/>
      <c r="AI183" s="65"/>
      <c r="AJ183" s="65"/>
      <c r="AK183" s="65"/>
      <c r="AL183" s="65"/>
      <c r="AM183" s="65"/>
      <c r="AN183" s="65"/>
      <c r="AO183" s="65"/>
      <c r="AP183" s="65"/>
      <c r="AQ183" s="65"/>
      <c r="AR183" s="65"/>
      <c r="AS183" s="65"/>
      <c r="AT183" s="65"/>
    </row>
    <row r="184" spans="2:46" s="32" customFormat="1" x14ac:dyDescent="0.2">
      <c r="B184" s="44"/>
      <c r="C184" s="44"/>
      <c r="D184" s="35"/>
      <c r="E184" s="35"/>
      <c r="F184" s="35"/>
      <c r="G184" s="35"/>
      <c r="H184" s="35"/>
      <c r="I184" s="35"/>
      <c r="J184" s="35"/>
      <c r="K184" s="35"/>
      <c r="L184" s="35"/>
      <c r="M184" s="35"/>
      <c r="N184" s="35"/>
      <c r="O184" s="35"/>
      <c r="P184" s="35"/>
      <c r="Q184" s="35"/>
      <c r="R184" s="35"/>
      <c r="S184" s="35"/>
      <c r="T184" s="35"/>
      <c r="U184" s="35"/>
      <c r="AE184" s="65"/>
      <c r="AF184" s="65"/>
      <c r="AG184" s="65"/>
      <c r="AH184" s="65"/>
      <c r="AI184" s="65"/>
      <c r="AJ184" s="65"/>
      <c r="AK184" s="65"/>
      <c r="AL184" s="65"/>
      <c r="AM184" s="65"/>
      <c r="AN184" s="65"/>
      <c r="AO184" s="65"/>
      <c r="AP184" s="65"/>
      <c r="AQ184" s="65"/>
      <c r="AR184" s="65"/>
      <c r="AS184" s="65"/>
      <c r="AT184" s="65"/>
    </row>
    <row r="185" spans="2:46" s="32" customFormat="1" x14ac:dyDescent="0.2">
      <c r="B185" s="44"/>
      <c r="C185" s="44"/>
      <c r="D185" s="35"/>
      <c r="E185" s="35"/>
      <c r="F185" s="35"/>
      <c r="G185" s="35"/>
      <c r="H185" s="35"/>
      <c r="I185" s="35"/>
      <c r="J185" s="35"/>
      <c r="K185" s="35"/>
      <c r="L185" s="35"/>
      <c r="M185" s="35"/>
      <c r="N185" s="35"/>
      <c r="O185" s="35"/>
      <c r="P185" s="35"/>
      <c r="Q185" s="35"/>
      <c r="R185" s="35"/>
      <c r="S185" s="35"/>
      <c r="T185" s="35"/>
      <c r="U185" s="35"/>
      <c r="AE185" s="65"/>
      <c r="AF185" s="65"/>
      <c r="AG185" s="65"/>
      <c r="AH185" s="65"/>
      <c r="AI185" s="65"/>
      <c r="AJ185" s="65"/>
      <c r="AK185" s="65"/>
      <c r="AL185" s="65"/>
      <c r="AM185" s="65"/>
      <c r="AN185" s="65"/>
      <c r="AO185" s="65"/>
      <c r="AP185" s="65"/>
      <c r="AQ185" s="65"/>
      <c r="AR185" s="65"/>
      <c r="AS185" s="65"/>
      <c r="AT185" s="65"/>
    </row>
    <row r="186" spans="2:46" s="32" customFormat="1" x14ac:dyDescent="0.2">
      <c r="B186" s="44"/>
      <c r="C186" s="44"/>
      <c r="D186" s="35"/>
      <c r="E186" s="35"/>
      <c r="F186" s="35"/>
      <c r="G186" s="35"/>
      <c r="H186" s="35"/>
      <c r="I186" s="35"/>
      <c r="J186" s="35"/>
      <c r="K186" s="35"/>
      <c r="L186" s="35"/>
      <c r="M186" s="35"/>
      <c r="N186" s="35"/>
      <c r="O186" s="35"/>
      <c r="P186" s="35"/>
      <c r="Q186" s="35"/>
      <c r="R186" s="35"/>
      <c r="S186" s="35"/>
      <c r="T186" s="35"/>
      <c r="U186" s="35"/>
      <c r="AE186" s="65"/>
      <c r="AF186" s="65"/>
      <c r="AG186" s="65"/>
      <c r="AH186" s="65"/>
      <c r="AI186" s="65"/>
      <c r="AJ186" s="65"/>
      <c r="AK186" s="65"/>
      <c r="AL186" s="65"/>
      <c r="AM186" s="65"/>
      <c r="AN186" s="65"/>
      <c r="AO186" s="65"/>
      <c r="AP186" s="65"/>
      <c r="AQ186" s="65"/>
      <c r="AR186" s="65"/>
      <c r="AS186" s="65"/>
      <c r="AT186" s="65"/>
    </row>
    <row r="187" spans="2:46" s="32" customFormat="1" x14ac:dyDescent="0.2">
      <c r="B187" s="44"/>
      <c r="C187" s="44"/>
      <c r="D187" s="35"/>
      <c r="E187" s="35"/>
      <c r="F187" s="35"/>
      <c r="G187" s="35"/>
      <c r="H187" s="35"/>
      <c r="I187" s="35"/>
      <c r="J187" s="35"/>
      <c r="K187" s="35"/>
      <c r="L187" s="35"/>
      <c r="M187" s="35"/>
      <c r="N187" s="35"/>
      <c r="O187" s="35"/>
      <c r="P187" s="35"/>
      <c r="Q187" s="35"/>
      <c r="R187" s="35"/>
      <c r="S187" s="35"/>
      <c r="T187" s="35"/>
      <c r="U187" s="35"/>
      <c r="AE187" s="65"/>
      <c r="AF187" s="65"/>
      <c r="AG187" s="65"/>
      <c r="AH187" s="65"/>
      <c r="AI187" s="65"/>
      <c r="AJ187" s="65"/>
      <c r="AK187" s="65"/>
      <c r="AL187" s="65"/>
      <c r="AM187" s="65"/>
      <c r="AN187" s="65"/>
      <c r="AO187" s="65"/>
      <c r="AP187" s="65"/>
      <c r="AQ187" s="65"/>
      <c r="AR187" s="65"/>
      <c r="AS187" s="65"/>
      <c r="AT187" s="65"/>
    </row>
    <row r="188" spans="2:46" s="32" customFormat="1" x14ac:dyDescent="0.2">
      <c r="B188" s="44"/>
      <c r="C188" s="44"/>
      <c r="D188" s="35"/>
      <c r="E188" s="35"/>
      <c r="F188" s="35"/>
      <c r="G188" s="35"/>
      <c r="H188" s="35"/>
      <c r="I188" s="35"/>
      <c r="J188" s="35"/>
      <c r="K188" s="35"/>
      <c r="L188" s="35"/>
      <c r="M188" s="35"/>
      <c r="N188" s="35"/>
      <c r="O188" s="35"/>
      <c r="P188" s="35"/>
      <c r="Q188" s="35"/>
      <c r="R188" s="35"/>
      <c r="S188" s="35"/>
      <c r="T188" s="35"/>
      <c r="U188" s="35"/>
      <c r="AE188" s="65"/>
      <c r="AF188" s="65"/>
      <c r="AG188" s="65"/>
      <c r="AH188" s="65"/>
      <c r="AI188" s="65"/>
      <c r="AJ188" s="65"/>
      <c r="AK188" s="65"/>
      <c r="AL188" s="65"/>
      <c r="AM188" s="65"/>
      <c r="AN188" s="65"/>
      <c r="AO188" s="65"/>
      <c r="AP188" s="65"/>
      <c r="AQ188" s="65"/>
      <c r="AR188" s="65"/>
      <c r="AS188" s="65"/>
      <c r="AT188" s="65"/>
    </row>
    <row r="189" spans="2:46" s="32" customFormat="1" x14ac:dyDescent="0.2">
      <c r="B189" s="44"/>
      <c r="C189" s="44"/>
      <c r="D189" s="35"/>
      <c r="E189" s="35"/>
      <c r="F189" s="35"/>
      <c r="G189" s="35"/>
      <c r="H189" s="35"/>
      <c r="I189" s="35"/>
      <c r="J189" s="35"/>
      <c r="K189" s="35"/>
      <c r="L189" s="35"/>
      <c r="M189" s="35"/>
      <c r="N189" s="35"/>
      <c r="O189" s="35"/>
      <c r="P189" s="35"/>
      <c r="Q189" s="35"/>
      <c r="R189" s="35"/>
      <c r="S189" s="35"/>
      <c r="T189" s="35"/>
      <c r="U189" s="35"/>
      <c r="AE189" s="65"/>
      <c r="AF189" s="65"/>
      <c r="AG189" s="65"/>
      <c r="AH189" s="65"/>
      <c r="AI189" s="65"/>
      <c r="AJ189" s="65"/>
      <c r="AK189" s="65"/>
      <c r="AL189" s="65"/>
      <c r="AM189" s="65"/>
      <c r="AN189" s="65"/>
      <c r="AO189" s="65"/>
      <c r="AP189" s="65"/>
      <c r="AQ189" s="65"/>
      <c r="AR189" s="65"/>
      <c r="AS189" s="65"/>
      <c r="AT189" s="65"/>
    </row>
    <row r="190" spans="2:46" s="32" customFormat="1" x14ac:dyDescent="0.2">
      <c r="B190" s="44"/>
      <c r="C190" s="44"/>
      <c r="D190" s="35"/>
      <c r="E190" s="35"/>
      <c r="F190" s="35"/>
      <c r="G190" s="35"/>
      <c r="H190" s="35"/>
      <c r="I190" s="35"/>
      <c r="J190" s="35"/>
      <c r="K190" s="35"/>
      <c r="L190" s="35"/>
      <c r="M190" s="35"/>
      <c r="N190" s="35"/>
      <c r="O190" s="35"/>
      <c r="P190" s="35"/>
      <c r="Q190" s="35"/>
      <c r="R190" s="35"/>
      <c r="S190" s="35"/>
      <c r="T190" s="35"/>
      <c r="U190" s="35"/>
      <c r="AE190" s="65"/>
      <c r="AF190" s="65"/>
      <c r="AG190" s="65"/>
      <c r="AH190" s="65"/>
      <c r="AI190" s="65"/>
      <c r="AJ190" s="65"/>
      <c r="AK190" s="65"/>
      <c r="AL190" s="65"/>
      <c r="AM190" s="65"/>
      <c r="AN190" s="65"/>
      <c r="AO190" s="65"/>
      <c r="AP190" s="65"/>
      <c r="AQ190" s="65"/>
      <c r="AR190" s="65"/>
      <c r="AS190" s="65"/>
      <c r="AT190" s="65"/>
    </row>
    <row r="191" spans="2:46" s="32" customFormat="1" x14ac:dyDescent="0.2">
      <c r="B191" s="44"/>
      <c r="C191" s="44"/>
      <c r="D191" s="35"/>
      <c r="E191" s="35"/>
      <c r="F191" s="35"/>
      <c r="G191" s="35"/>
      <c r="H191" s="35"/>
      <c r="I191" s="35"/>
      <c r="J191" s="35"/>
      <c r="K191" s="35"/>
      <c r="L191" s="35"/>
      <c r="M191" s="35"/>
      <c r="N191" s="35"/>
      <c r="O191" s="35"/>
      <c r="P191" s="35"/>
      <c r="Q191" s="35"/>
      <c r="R191" s="35"/>
      <c r="S191" s="35"/>
      <c r="T191" s="35"/>
      <c r="U191" s="35"/>
      <c r="AE191" s="65"/>
      <c r="AF191" s="65"/>
      <c r="AG191" s="65"/>
      <c r="AH191" s="65"/>
      <c r="AI191" s="65"/>
      <c r="AJ191" s="65"/>
      <c r="AK191" s="65"/>
      <c r="AL191" s="65"/>
      <c r="AM191" s="65"/>
      <c r="AN191" s="65"/>
      <c r="AO191" s="65"/>
      <c r="AP191" s="65"/>
      <c r="AQ191" s="65"/>
      <c r="AR191" s="65"/>
      <c r="AS191" s="65"/>
      <c r="AT191" s="65"/>
    </row>
    <row r="192" spans="2:46" s="32" customFormat="1" x14ac:dyDescent="0.2">
      <c r="B192" s="44"/>
      <c r="C192" s="44"/>
      <c r="D192" s="35"/>
      <c r="E192" s="35"/>
      <c r="F192" s="35"/>
      <c r="G192" s="35"/>
      <c r="H192" s="35"/>
      <c r="I192" s="35"/>
      <c r="J192" s="35"/>
      <c r="K192" s="35"/>
      <c r="L192" s="35"/>
      <c r="M192" s="35"/>
      <c r="N192" s="35"/>
      <c r="O192" s="35"/>
      <c r="P192" s="35"/>
      <c r="Q192" s="35"/>
      <c r="R192" s="35"/>
      <c r="S192" s="35"/>
      <c r="T192" s="35"/>
      <c r="U192" s="35"/>
      <c r="AE192" s="65"/>
      <c r="AF192" s="65"/>
      <c r="AG192" s="65"/>
      <c r="AH192" s="65"/>
      <c r="AI192" s="65"/>
      <c r="AJ192" s="65"/>
      <c r="AK192" s="65"/>
      <c r="AL192" s="65"/>
      <c r="AM192" s="65"/>
      <c r="AN192" s="65"/>
      <c r="AO192" s="65"/>
      <c r="AP192" s="65"/>
      <c r="AQ192" s="65"/>
      <c r="AR192" s="65"/>
      <c r="AS192" s="65"/>
      <c r="AT192" s="65"/>
    </row>
    <row r="193" spans="2:46" s="32" customFormat="1" x14ac:dyDescent="0.2">
      <c r="B193" s="44"/>
      <c r="C193" s="44"/>
      <c r="D193" s="35"/>
      <c r="E193" s="35"/>
      <c r="F193" s="35"/>
      <c r="G193" s="35"/>
      <c r="H193" s="35"/>
      <c r="I193" s="35"/>
      <c r="J193" s="35"/>
      <c r="K193" s="35"/>
      <c r="L193" s="35"/>
      <c r="M193" s="35"/>
      <c r="N193" s="35"/>
      <c r="O193" s="35"/>
      <c r="P193" s="35"/>
      <c r="Q193" s="35"/>
      <c r="R193" s="35"/>
      <c r="S193" s="35"/>
      <c r="T193" s="35"/>
      <c r="U193" s="35"/>
      <c r="AE193" s="65"/>
      <c r="AF193" s="65"/>
      <c r="AG193" s="65"/>
      <c r="AH193" s="65"/>
      <c r="AI193" s="65"/>
      <c r="AJ193" s="65"/>
      <c r="AK193" s="65"/>
      <c r="AL193" s="65"/>
      <c r="AM193" s="65"/>
      <c r="AN193" s="65"/>
      <c r="AO193" s="65"/>
      <c r="AP193" s="65"/>
      <c r="AQ193" s="65"/>
      <c r="AR193" s="65"/>
      <c r="AS193" s="65"/>
      <c r="AT193" s="65"/>
    </row>
    <row r="194" spans="2:46" s="32" customFormat="1" x14ac:dyDescent="0.2">
      <c r="B194" s="44"/>
      <c r="C194" s="44"/>
      <c r="D194" s="35"/>
      <c r="E194" s="35"/>
      <c r="F194" s="35"/>
      <c r="G194" s="35"/>
      <c r="H194" s="35"/>
      <c r="I194" s="35"/>
      <c r="J194" s="35"/>
      <c r="K194" s="35"/>
      <c r="L194" s="35"/>
      <c r="M194" s="35"/>
      <c r="N194" s="35"/>
      <c r="O194" s="35"/>
      <c r="P194" s="35"/>
      <c r="Q194" s="35"/>
      <c r="R194" s="35"/>
      <c r="S194" s="35"/>
      <c r="T194" s="35"/>
      <c r="U194" s="35"/>
      <c r="AE194" s="65"/>
      <c r="AF194" s="65"/>
      <c r="AG194" s="65"/>
      <c r="AH194" s="65"/>
      <c r="AI194" s="65"/>
      <c r="AJ194" s="65"/>
      <c r="AK194" s="65"/>
      <c r="AL194" s="65"/>
      <c r="AM194" s="65"/>
      <c r="AN194" s="65"/>
      <c r="AO194" s="65"/>
      <c r="AP194" s="65"/>
      <c r="AQ194" s="65"/>
      <c r="AR194" s="65"/>
      <c r="AS194" s="65"/>
      <c r="AT194" s="65"/>
    </row>
    <row r="195" spans="2:46" s="32" customFormat="1" x14ac:dyDescent="0.2">
      <c r="B195" s="44"/>
      <c r="C195" s="44"/>
      <c r="D195" s="35"/>
      <c r="E195" s="35"/>
      <c r="F195" s="35"/>
      <c r="G195" s="35"/>
      <c r="H195" s="35"/>
      <c r="I195" s="35"/>
      <c r="J195" s="35"/>
      <c r="K195" s="35"/>
      <c r="L195" s="35"/>
      <c r="M195" s="35"/>
      <c r="N195" s="35"/>
      <c r="O195" s="35"/>
      <c r="P195" s="35"/>
      <c r="Q195" s="35"/>
      <c r="R195" s="35"/>
      <c r="S195" s="35"/>
      <c r="T195" s="35"/>
      <c r="U195" s="35"/>
      <c r="AE195" s="65"/>
      <c r="AF195" s="65"/>
      <c r="AG195" s="65"/>
      <c r="AH195" s="65"/>
      <c r="AI195" s="65"/>
      <c r="AJ195" s="65"/>
      <c r="AK195" s="65"/>
      <c r="AL195" s="65"/>
      <c r="AM195" s="65"/>
      <c r="AN195" s="65"/>
      <c r="AO195" s="65"/>
      <c r="AP195" s="65"/>
      <c r="AQ195" s="65"/>
      <c r="AR195" s="65"/>
      <c r="AS195" s="65"/>
      <c r="AT195" s="65"/>
    </row>
    <row r="196" spans="2:46" s="32" customFormat="1" x14ac:dyDescent="0.2">
      <c r="B196" s="44"/>
      <c r="C196" s="44"/>
      <c r="D196" s="35"/>
      <c r="E196" s="35"/>
      <c r="F196" s="35"/>
      <c r="G196" s="35"/>
      <c r="H196" s="35"/>
      <c r="I196" s="35"/>
      <c r="J196" s="35"/>
      <c r="K196" s="35"/>
      <c r="L196" s="35"/>
      <c r="M196" s="35"/>
      <c r="N196" s="35"/>
      <c r="O196" s="35"/>
      <c r="P196" s="35"/>
      <c r="Q196" s="35"/>
      <c r="R196" s="35"/>
      <c r="S196" s="35"/>
      <c r="T196" s="35"/>
      <c r="U196" s="35"/>
      <c r="AE196" s="65"/>
      <c r="AF196" s="65"/>
      <c r="AG196" s="65"/>
      <c r="AH196" s="65"/>
      <c r="AI196" s="65"/>
      <c r="AJ196" s="65"/>
      <c r="AK196" s="65"/>
      <c r="AL196" s="65"/>
      <c r="AM196" s="65"/>
      <c r="AN196" s="65"/>
      <c r="AO196" s="65"/>
      <c r="AP196" s="65"/>
      <c r="AQ196" s="65"/>
      <c r="AR196" s="65"/>
      <c r="AS196" s="65"/>
      <c r="AT196" s="65"/>
    </row>
    <row r="197" spans="2:46" s="32" customFormat="1" x14ac:dyDescent="0.2">
      <c r="B197" s="44"/>
      <c r="C197" s="44"/>
      <c r="D197" s="35"/>
      <c r="E197" s="35"/>
      <c r="F197" s="35"/>
      <c r="G197" s="35"/>
      <c r="H197" s="35"/>
      <c r="I197" s="35"/>
      <c r="J197" s="35"/>
      <c r="K197" s="35"/>
      <c r="L197" s="35"/>
      <c r="M197" s="35"/>
      <c r="N197" s="35"/>
      <c r="O197" s="35"/>
      <c r="P197" s="35"/>
      <c r="Q197" s="35"/>
      <c r="R197" s="35"/>
      <c r="S197" s="35"/>
      <c r="T197" s="35"/>
      <c r="U197" s="35"/>
      <c r="AE197" s="65"/>
      <c r="AF197" s="65"/>
      <c r="AG197" s="65"/>
      <c r="AH197" s="65"/>
      <c r="AI197" s="65"/>
      <c r="AJ197" s="65"/>
      <c r="AK197" s="65"/>
      <c r="AL197" s="65"/>
      <c r="AM197" s="65"/>
      <c r="AN197" s="65"/>
      <c r="AO197" s="65"/>
      <c r="AP197" s="65"/>
      <c r="AQ197" s="65"/>
      <c r="AR197" s="65"/>
      <c r="AS197" s="65"/>
      <c r="AT197" s="65"/>
    </row>
    <row r="198" spans="2:46" s="32" customFormat="1" x14ac:dyDescent="0.2">
      <c r="B198" s="44"/>
      <c r="C198" s="44"/>
      <c r="D198" s="35"/>
      <c r="E198" s="35"/>
      <c r="F198" s="35"/>
      <c r="G198" s="35"/>
      <c r="H198" s="35"/>
      <c r="I198" s="35"/>
      <c r="J198" s="35"/>
      <c r="K198" s="35"/>
      <c r="L198" s="35"/>
      <c r="M198" s="35"/>
      <c r="N198" s="35"/>
      <c r="O198" s="35"/>
      <c r="P198" s="35"/>
      <c r="Q198" s="35"/>
      <c r="R198" s="35"/>
      <c r="S198" s="35"/>
      <c r="T198" s="35"/>
      <c r="U198" s="35"/>
      <c r="AE198" s="65"/>
      <c r="AF198" s="65"/>
      <c r="AG198" s="65"/>
      <c r="AH198" s="65"/>
      <c r="AI198" s="65"/>
      <c r="AJ198" s="65"/>
      <c r="AK198" s="65"/>
      <c r="AL198" s="65"/>
      <c r="AM198" s="65"/>
      <c r="AN198" s="65"/>
      <c r="AO198" s="65"/>
      <c r="AP198" s="65"/>
      <c r="AQ198" s="65"/>
      <c r="AR198" s="65"/>
      <c r="AS198" s="65"/>
      <c r="AT198" s="65"/>
    </row>
    <row r="199" spans="2:46" s="32" customFormat="1" x14ac:dyDescent="0.2">
      <c r="B199" s="44"/>
      <c r="C199" s="44"/>
      <c r="D199" s="35"/>
      <c r="E199" s="35"/>
      <c r="F199" s="35"/>
      <c r="G199" s="35"/>
      <c r="H199" s="35"/>
      <c r="I199" s="35"/>
      <c r="J199" s="35"/>
      <c r="K199" s="35"/>
      <c r="L199" s="35"/>
      <c r="M199" s="35"/>
      <c r="N199" s="35"/>
      <c r="O199" s="35"/>
      <c r="P199" s="35"/>
      <c r="Q199" s="35"/>
      <c r="R199" s="35"/>
      <c r="S199" s="35"/>
      <c r="T199" s="35"/>
      <c r="U199" s="35"/>
      <c r="AE199" s="65"/>
      <c r="AF199" s="65"/>
      <c r="AG199" s="65"/>
      <c r="AH199" s="65"/>
      <c r="AI199" s="65"/>
      <c r="AJ199" s="65"/>
      <c r="AK199" s="65"/>
      <c r="AL199" s="65"/>
      <c r="AM199" s="65"/>
      <c r="AN199" s="65"/>
      <c r="AO199" s="65"/>
      <c r="AP199" s="65"/>
      <c r="AQ199" s="65"/>
      <c r="AR199" s="65"/>
      <c r="AS199" s="65"/>
      <c r="AT199" s="65"/>
    </row>
    <row r="200" spans="2:46" s="32" customFormat="1" x14ac:dyDescent="0.2">
      <c r="B200" s="44"/>
      <c r="C200" s="44"/>
      <c r="D200" s="35"/>
      <c r="E200" s="35"/>
      <c r="F200" s="35"/>
      <c r="G200" s="35"/>
      <c r="H200" s="35"/>
      <c r="I200" s="35"/>
      <c r="J200" s="35"/>
      <c r="K200" s="35"/>
      <c r="L200" s="35"/>
      <c r="M200" s="35"/>
      <c r="N200" s="35"/>
      <c r="O200" s="35"/>
      <c r="P200" s="35"/>
      <c r="Q200" s="35"/>
      <c r="R200" s="35"/>
      <c r="S200" s="35"/>
      <c r="T200" s="35"/>
      <c r="U200" s="35"/>
      <c r="AE200" s="65"/>
      <c r="AF200" s="65"/>
      <c r="AG200" s="65"/>
      <c r="AH200" s="65"/>
      <c r="AI200" s="65"/>
      <c r="AJ200" s="65"/>
      <c r="AK200" s="65"/>
      <c r="AL200" s="65"/>
      <c r="AM200" s="65"/>
      <c r="AN200" s="65"/>
      <c r="AO200" s="65"/>
      <c r="AP200" s="65"/>
      <c r="AQ200" s="65"/>
      <c r="AR200" s="65"/>
      <c r="AS200" s="65"/>
      <c r="AT200" s="65"/>
    </row>
    <row r="201" spans="2:46" s="32" customFormat="1" x14ac:dyDescent="0.2">
      <c r="B201" s="44"/>
      <c r="C201" s="44"/>
      <c r="D201" s="35"/>
      <c r="E201" s="35"/>
      <c r="F201" s="35"/>
      <c r="G201" s="35"/>
      <c r="H201" s="35"/>
      <c r="I201" s="35"/>
      <c r="J201" s="35"/>
      <c r="K201" s="35"/>
      <c r="L201" s="35"/>
      <c r="M201" s="35"/>
      <c r="N201" s="35"/>
      <c r="O201" s="35"/>
      <c r="P201" s="35"/>
      <c r="Q201" s="35"/>
      <c r="R201" s="35"/>
      <c r="S201" s="35"/>
      <c r="T201" s="35"/>
      <c r="U201" s="35"/>
      <c r="AE201" s="65"/>
      <c r="AF201" s="65"/>
      <c r="AG201" s="65"/>
      <c r="AH201" s="65"/>
      <c r="AI201" s="65"/>
      <c r="AJ201" s="65"/>
      <c r="AK201" s="65"/>
      <c r="AL201" s="65"/>
      <c r="AM201" s="65"/>
      <c r="AN201" s="65"/>
      <c r="AO201" s="65"/>
      <c r="AP201" s="65"/>
      <c r="AQ201" s="65"/>
      <c r="AR201" s="65"/>
      <c r="AS201" s="65"/>
      <c r="AT201" s="65"/>
    </row>
    <row r="202" spans="2:46" s="32" customFormat="1" x14ac:dyDescent="0.2">
      <c r="B202" s="44"/>
      <c r="C202" s="44"/>
      <c r="D202" s="35"/>
      <c r="E202" s="35"/>
      <c r="F202" s="35"/>
      <c r="G202" s="35"/>
      <c r="H202" s="35"/>
      <c r="I202" s="35"/>
      <c r="J202" s="35"/>
      <c r="K202" s="35"/>
      <c r="L202" s="35"/>
      <c r="M202" s="35"/>
      <c r="N202" s="35"/>
      <c r="O202" s="35"/>
      <c r="P202" s="35"/>
      <c r="Q202" s="35"/>
      <c r="R202" s="35"/>
      <c r="S202" s="35"/>
      <c r="T202" s="35"/>
      <c r="U202" s="35"/>
      <c r="AE202" s="65"/>
      <c r="AF202" s="65"/>
      <c r="AG202" s="65"/>
      <c r="AH202" s="65"/>
      <c r="AI202" s="65"/>
      <c r="AJ202" s="65"/>
      <c r="AK202" s="65"/>
      <c r="AL202" s="65"/>
      <c r="AM202" s="65"/>
      <c r="AN202" s="65"/>
      <c r="AO202" s="65"/>
      <c r="AP202" s="65"/>
      <c r="AQ202" s="65"/>
      <c r="AR202" s="65"/>
      <c r="AS202" s="65"/>
      <c r="AT202" s="65"/>
    </row>
    <row r="203" spans="2:46" s="32" customFormat="1" x14ac:dyDescent="0.2">
      <c r="B203" s="44"/>
      <c r="C203" s="44"/>
      <c r="D203" s="35"/>
      <c r="E203" s="35"/>
      <c r="F203" s="35"/>
      <c r="G203" s="35"/>
      <c r="H203" s="35"/>
      <c r="I203" s="35"/>
      <c r="J203" s="35"/>
      <c r="K203" s="35"/>
      <c r="L203" s="35"/>
      <c r="M203" s="35"/>
      <c r="N203" s="35"/>
      <c r="O203" s="35"/>
      <c r="P203" s="35"/>
      <c r="Q203" s="35"/>
      <c r="R203" s="35"/>
      <c r="S203" s="35"/>
      <c r="T203" s="35"/>
      <c r="U203" s="35"/>
      <c r="AE203" s="65"/>
      <c r="AF203" s="65"/>
      <c r="AG203" s="65"/>
      <c r="AH203" s="65"/>
      <c r="AI203" s="65"/>
      <c r="AJ203" s="65"/>
      <c r="AK203" s="65"/>
      <c r="AL203" s="65"/>
      <c r="AM203" s="65"/>
      <c r="AN203" s="65"/>
      <c r="AO203" s="65"/>
      <c r="AP203" s="65"/>
      <c r="AQ203" s="65"/>
      <c r="AR203" s="65"/>
      <c r="AS203" s="65"/>
      <c r="AT203" s="65"/>
    </row>
    <row r="204" spans="2:46" s="32" customFormat="1" x14ac:dyDescent="0.2">
      <c r="B204" s="44"/>
      <c r="C204" s="44"/>
      <c r="D204" s="35"/>
      <c r="E204" s="35"/>
      <c r="F204" s="35"/>
      <c r="G204" s="35"/>
      <c r="H204" s="35"/>
      <c r="I204" s="35"/>
      <c r="J204" s="35"/>
      <c r="K204" s="35"/>
      <c r="L204" s="35"/>
      <c r="M204" s="35"/>
      <c r="N204" s="35"/>
      <c r="O204" s="35"/>
      <c r="P204" s="35"/>
      <c r="Q204" s="35"/>
      <c r="R204" s="35"/>
      <c r="S204" s="35"/>
      <c r="T204" s="35"/>
      <c r="U204" s="35"/>
      <c r="AE204" s="65"/>
      <c r="AF204" s="65"/>
      <c r="AG204" s="65"/>
      <c r="AH204" s="65"/>
      <c r="AI204" s="65"/>
      <c r="AJ204" s="65"/>
      <c r="AK204" s="65"/>
      <c r="AL204" s="65"/>
      <c r="AM204" s="65"/>
      <c r="AN204" s="65"/>
      <c r="AO204" s="65"/>
      <c r="AP204" s="65"/>
      <c r="AQ204" s="65"/>
      <c r="AR204" s="65"/>
      <c r="AS204" s="65"/>
      <c r="AT204" s="65"/>
    </row>
    <row r="205" spans="2:46" s="32" customFormat="1" x14ac:dyDescent="0.2">
      <c r="B205" s="44"/>
      <c r="C205" s="44"/>
      <c r="D205" s="35"/>
      <c r="E205" s="35"/>
      <c r="F205" s="35"/>
      <c r="G205" s="35"/>
      <c r="H205" s="35"/>
      <c r="I205" s="35"/>
      <c r="J205" s="35"/>
      <c r="K205" s="35"/>
      <c r="L205" s="35"/>
      <c r="M205" s="35"/>
      <c r="N205" s="35"/>
      <c r="O205" s="35"/>
      <c r="P205" s="35"/>
      <c r="Q205" s="35"/>
      <c r="R205" s="35"/>
      <c r="S205" s="35"/>
      <c r="T205" s="35"/>
      <c r="U205" s="35"/>
      <c r="AE205" s="65"/>
      <c r="AF205" s="65"/>
      <c r="AG205" s="65"/>
      <c r="AH205" s="65"/>
      <c r="AI205" s="65"/>
      <c r="AJ205" s="65"/>
      <c r="AK205" s="65"/>
      <c r="AL205" s="65"/>
      <c r="AM205" s="65"/>
      <c r="AN205" s="65"/>
      <c r="AO205" s="65"/>
      <c r="AP205" s="65"/>
      <c r="AQ205" s="65"/>
      <c r="AR205" s="65"/>
      <c r="AS205" s="65"/>
      <c r="AT205" s="65"/>
    </row>
    <row r="206" spans="2:46" s="32" customFormat="1" x14ac:dyDescent="0.2">
      <c r="B206" s="44"/>
      <c r="C206" s="44"/>
      <c r="D206" s="35"/>
      <c r="E206" s="35"/>
      <c r="F206" s="35"/>
      <c r="G206" s="35"/>
      <c r="H206" s="35"/>
      <c r="I206" s="35"/>
      <c r="J206" s="35"/>
      <c r="K206" s="35"/>
      <c r="L206" s="35"/>
      <c r="M206" s="35"/>
      <c r="N206" s="35"/>
      <c r="O206" s="35"/>
      <c r="P206" s="35"/>
      <c r="Q206" s="35"/>
      <c r="R206" s="35"/>
      <c r="S206" s="35"/>
      <c r="T206" s="35"/>
      <c r="U206" s="35"/>
      <c r="AE206" s="65"/>
      <c r="AF206" s="65"/>
      <c r="AG206" s="65"/>
      <c r="AH206" s="65"/>
      <c r="AI206" s="65"/>
      <c r="AJ206" s="65"/>
      <c r="AK206" s="65"/>
      <c r="AL206" s="65"/>
      <c r="AM206" s="65"/>
      <c r="AN206" s="65"/>
      <c r="AO206" s="65"/>
      <c r="AP206" s="65"/>
      <c r="AQ206" s="65"/>
      <c r="AR206" s="65"/>
      <c r="AS206" s="65"/>
      <c r="AT206" s="65"/>
    </row>
    <row r="207" spans="2:46" s="32" customFormat="1" x14ac:dyDescent="0.2">
      <c r="B207" s="44"/>
      <c r="C207" s="44"/>
      <c r="D207" s="35"/>
      <c r="E207" s="35"/>
      <c r="F207" s="35"/>
      <c r="G207" s="35"/>
      <c r="H207" s="35"/>
      <c r="I207" s="35"/>
      <c r="J207" s="35"/>
      <c r="K207" s="35"/>
      <c r="L207" s="35"/>
      <c r="M207" s="35"/>
      <c r="N207" s="35"/>
      <c r="O207" s="35"/>
      <c r="P207" s="35"/>
      <c r="Q207" s="35"/>
      <c r="R207" s="35"/>
      <c r="S207" s="35"/>
      <c r="T207" s="35"/>
      <c r="U207" s="35"/>
      <c r="AE207" s="65"/>
      <c r="AF207" s="65"/>
      <c r="AG207" s="65"/>
      <c r="AH207" s="65"/>
      <c r="AI207" s="65"/>
      <c r="AJ207" s="65"/>
      <c r="AK207" s="65"/>
      <c r="AL207" s="65"/>
      <c r="AM207" s="65"/>
      <c r="AN207" s="65"/>
      <c r="AO207" s="65"/>
      <c r="AP207" s="65"/>
      <c r="AQ207" s="65"/>
      <c r="AR207" s="65"/>
      <c r="AS207" s="65"/>
      <c r="AT207" s="65"/>
    </row>
    <row r="208" spans="2:46" s="32" customFormat="1" x14ac:dyDescent="0.2">
      <c r="B208" s="44"/>
      <c r="C208" s="44"/>
      <c r="D208" s="35"/>
      <c r="E208" s="35"/>
      <c r="F208" s="35"/>
      <c r="G208" s="35"/>
      <c r="H208" s="35"/>
      <c r="I208" s="35"/>
      <c r="J208" s="35"/>
      <c r="K208" s="35"/>
      <c r="L208" s="35"/>
      <c r="M208" s="35"/>
      <c r="N208" s="35"/>
      <c r="O208" s="35"/>
      <c r="P208" s="35"/>
      <c r="Q208" s="35"/>
      <c r="R208" s="35"/>
      <c r="S208" s="35"/>
      <c r="T208" s="35"/>
      <c r="U208" s="35"/>
      <c r="AE208" s="65"/>
      <c r="AF208" s="65"/>
      <c r="AG208" s="65"/>
      <c r="AH208" s="65"/>
      <c r="AI208" s="65"/>
      <c r="AJ208" s="65"/>
      <c r="AK208" s="65"/>
      <c r="AL208" s="65"/>
      <c r="AM208" s="65"/>
      <c r="AN208" s="65"/>
      <c r="AO208" s="65"/>
      <c r="AP208" s="65"/>
      <c r="AQ208" s="65"/>
      <c r="AR208" s="65"/>
      <c r="AS208" s="65"/>
      <c r="AT208" s="65"/>
    </row>
    <row r="209" spans="2:46" s="32" customFormat="1" x14ac:dyDescent="0.2">
      <c r="B209" s="44"/>
      <c r="C209" s="44"/>
      <c r="D209" s="35"/>
      <c r="E209" s="35"/>
      <c r="F209" s="35"/>
      <c r="G209" s="35"/>
      <c r="H209" s="35"/>
      <c r="I209" s="35"/>
      <c r="J209" s="35"/>
      <c r="K209" s="35"/>
      <c r="L209" s="35"/>
      <c r="M209" s="35"/>
      <c r="N209" s="35"/>
      <c r="O209" s="35"/>
      <c r="P209" s="35"/>
      <c r="Q209" s="35"/>
      <c r="R209" s="35"/>
      <c r="S209" s="35"/>
      <c r="T209" s="35"/>
      <c r="U209" s="35"/>
      <c r="AE209" s="65"/>
      <c r="AF209" s="65"/>
      <c r="AG209" s="65"/>
      <c r="AH209" s="65"/>
      <c r="AI209" s="65"/>
      <c r="AJ209" s="65"/>
      <c r="AK209" s="65"/>
      <c r="AL209" s="65"/>
      <c r="AM209" s="65"/>
      <c r="AN209" s="65"/>
      <c r="AO209" s="65"/>
      <c r="AP209" s="65"/>
      <c r="AQ209" s="65"/>
      <c r="AR209" s="65"/>
      <c r="AS209" s="65"/>
      <c r="AT209" s="65"/>
    </row>
    <row r="210" spans="2:46" s="32" customFormat="1" x14ac:dyDescent="0.2">
      <c r="B210" s="44"/>
      <c r="C210" s="44"/>
      <c r="D210" s="35"/>
      <c r="E210" s="35"/>
      <c r="F210" s="35"/>
      <c r="G210" s="35"/>
      <c r="H210" s="35"/>
      <c r="I210" s="35"/>
      <c r="J210" s="35"/>
      <c r="K210" s="35"/>
      <c r="L210" s="35"/>
      <c r="M210" s="35"/>
      <c r="N210" s="35"/>
      <c r="O210" s="35"/>
      <c r="P210" s="35"/>
      <c r="Q210" s="35"/>
      <c r="R210" s="35"/>
      <c r="S210" s="35"/>
      <c r="T210" s="35"/>
      <c r="U210" s="35"/>
      <c r="AE210" s="65"/>
      <c r="AF210" s="65"/>
      <c r="AG210" s="65"/>
      <c r="AH210" s="65"/>
      <c r="AI210" s="65"/>
      <c r="AJ210" s="65"/>
      <c r="AK210" s="65"/>
      <c r="AL210" s="65"/>
      <c r="AM210" s="65"/>
      <c r="AN210" s="65"/>
      <c r="AO210" s="65"/>
      <c r="AP210" s="65"/>
      <c r="AQ210" s="65"/>
      <c r="AR210" s="65"/>
      <c r="AS210" s="65"/>
      <c r="AT210" s="65"/>
    </row>
    <row r="211" spans="2:46" s="32" customFormat="1" x14ac:dyDescent="0.2">
      <c r="B211" s="44"/>
      <c r="C211" s="44"/>
      <c r="D211" s="35"/>
      <c r="E211" s="35"/>
      <c r="F211" s="35"/>
      <c r="G211" s="35"/>
      <c r="H211" s="35"/>
      <c r="I211" s="35"/>
      <c r="J211" s="35"/>
      <c r="K211" s="35"/>
      <c r="L211" s="35"/>
      <c r="M211" s="35"/>
      <c r="N211" s="35"/>
      <c r="O211" s="35"/>
      <c r="P211" s="35"/>
      <c r="Q211" s="35"/>
      <c r="R211" s="35"/>
      <c r="S211" s="35"/>
      <c r="T211" s="35"/>
      <c r="U211" s="35"/>
      <c r="AE211" s="65"/>
      <c r="AF211" s="65"/>
      <c r="AG211" s="65"/>
      <c r="AH211" s="65"/>
      <c r="AI211" s="65"/>
      <c r="AJ211" s="65"/>
      <c r="AK211" s="65"/>
      <c r="AL211" s="65"/>
      <c r="AM211" s="65"/>
      <c r="AN211" s="65"/>
      <c r="AO211" s="65"/>
      <c r="AP211" s="65"/>
      <c r="AQ211" s="65"/>
      <c r="AR211" s="65"/>
      <c r="AS211" s="65"/>
      <c r="AT211" s="65"/>
    </row>
    <row r="212" spans="2:46" s="32" customFormat="1" x14ac:dyDescent="0.2">
      <c r="B212" s="44"/>
      <c r="C212" s="44"/>
      <c r="D212" s="35"/>
      <c r="E212" s="35"/>
      <c r="F212" s="35"/>
      <c r="G212" s="35"/>
      <c r="H212" s="35"/>
      <c r="I212" s="35"/>
      <c r="J212" s="35"/>
      <c r="K212" s="35"/>
      <c r="L212" s="35"/>
      <c r="M212" s="35"/>
      <c r="N212" s="35"/>
      <c r="O212" s="35"/>
      <c r="P212" s="35"/>
      <c r="Q212" s="35"/>
      <c r="R212" s="35"/>
      <c r="S212" s="35"/>
      <c r="T212" s="35"/>
      <c r="U212" s="35"/>
      <c r="AE212" s="65"/>
      <c r="AF212" s="65"/>
      <c r="AG212" s="65"/>
      <c r="AH212" s="65"/>
      <c r="AI212" s="65"/>
      <c r="AJ212" s="65"/>
      <c r="AK212" s="65"/>
      <c r="AL212" s="65"/>
      <c r="AM212" s="65"/>
      <c r="AN212" s="65"/>
      <c r="AO212" s="65"/>
      <c r="AP212" s="65"/>
      <c r="AQ212" s="65"/>
      <c r="AR212" s="65"/>
      <c r="AS212" s="65"/>
      <c r="AT212" s="65"/>
    </row>
    <row r="213" spans="2:46" s="32" customFormat="1" x14ac:dyDescent="0.2">
      <c r="B213" s="44"/>
      <c r="C213" s="44"/>
      <c r="D213" s="35"/>
      <c r="E213" s="35"/>
      <c r="F213" s="35"/>
      <c r="G213" s="35"/>
      <c r="H213" s="35"/>
      <c r="I213" s="35"/>
      <c r="J213" s="35"/>
      <c r="K213" s="35"/>
      <c r="L213" s="35"/>
      <c r="M213" s="35"/>
      <c r="N213" s="35"/>
      <c r="O213" s="35"/>
      <c r="P213" s="35"/>
      <c r="Q213" s="35"/>
      <c r="R213" s="35"/>
      <c r="S213" s="35"/>
      <c r="T213" s="35"/>
      <c r="U213" s="35"/>
      <c r="AE213" s="65"/>
      <c r="AF213" s="65"/>
      <c r="AG213" s="65"/>
      <c r="AH213" s="65"/>
      <c r="AI213" s="65"/>
      <c r="AJ213" s="65"/>
      <c r="AK213" s="65"/>
      <c r="AL213" s="65"/>
      <c r="AM213" s="65"/>
      <c r="AN213" s="65"/>
      <c r="AO213" s="65"/>
      <c r="AP213" s="65"/>
      <c r="AQ213" s="65"/>
      <c r="AR213" s="65"/>
      <c r="AS213" s="65"/>
      <c r="AT213" s="65"/>
    </row>
    <row r="214" spans="2:46" s="32" customFormat="1" x14ac:dyDescent="0.2">
      <c r="B214" s="44"/>
      <c r="C214" s="44"/>
      <c r="D214" s="35"/>
      <c r="E214" s="35"/>
      <c r="F214" s="35"/>
      <c r="G214" s="35"/>
      <c r="H214" s="35"/>
      <c r="I214" s="35"/>
      <c r="J214" s="35"/>
      <c r="K214" s="35"/>
      <c r="L214" s="35"/>
      <c r="M214" s="35"/>
      <c r="N214" s="35"/>
      <c r="O214" s="35"/>
      <c r="P214" s="35"/>
      <c r="Q214" s="35"/>
      <c r="R214" s="35"/>
      <c r="S214" s="35"/>
      <c r="T214" s="35"/>
      <c r="U214" s="35"/>
      <c r="AE214" s="65"/>
      <c r="AF214" s="65"/>
      <c r="AG214" s="65"/>
      <c r="AH214" s="65"/>
      <c r="AI214" s="65"/>
      <c r="AJ214" s="65"/>
      <c r="AK214" s="65"/>
      <c r="AL214" s="65"/>
      <c r="AM214" s="65"/>
      <c r="AN214" s="65"/>
      <c r="AO214" s="65"/>
      <c r="AP214" s="65"/>
      <c r="AQ214" s="65"/>
      <c r="AR214" s="65"/>
      <c r="AS214" s="65"/>
      <c r="AT214" s="65"/>
    </row>
    <row r="215" spans="2:46" s="32" customFormat="1" x14ac:dyDescent="0.2">
      <c r="B215" s="44"/>
      <c r="C215" s="44"/>
      <c r="D215" s="35"/>
      <c r="E215" s="35"/>
      <c r="F215" s="35"/>
      <c r="G215" s="35"/>
      <c r="H215" s="35"/>
      <c r="I215" s="35"/>
      <c r="J215" s="35"/>
      <c r="K215" s="35"/>
      <c r="L215" s="35"/>
      <c r="M215" s="35"/>
      <c r="N215" s="35"/>
      <c r="O215" s="35"/>
      <c r="P215" s="35"/>
      <c r="Q215" s="35"/>
      <c r="R215" s="35"/>
      <c r="S215" s="35"/>
      <c r="T215" s="35"/>
      <c r="U215" s="35"/>
      <c r="AE215" s="65"/>
      <c r="AF215" s="65"/>
      <c r="AG215" s="65"/>
      <c r="AH215" s="65"/>
      <c r="AI215" s="65"/>
      <c r="AJ215" s="65"/>
      <c r="AK215" s="65"/>
      <c r="AL215" s="65"/>
      <c r="AM215" s="65"/>
      <c r="AN215" s="65"/>
      <c r="AO215" s="65"/>
      <c r="AP215" s="65"/>
      <c r="AQ215" s="65"/>
      <c r="AR215" s="65"/>
      <c r="AS215" s="65"/>
      <c r="AT215" s="65"/>
    </row>
    <row r="216" spans="2:46" s="32" customFormat="1" x14ac:dyDescent="0.2">
      <c r="B216" s="44"/>
      <c r="C216" s="44"/>
      <c r="D216" s="35"/>
      <c r="E216" s="35"/>
      <c r="F216" s="35"/>
      <c r="G216" s="35"/>
      <c r="H216" s="35"/>
      <c r="I216" s="35"/>
      <c r="J216" s="35"/>
      <c r="K216" s="35"/>
      <c r="L216" s="35"/>
      <c r="M216" s="35"/>
      <c r="N216" s="35"/>
      <c r="O216" s="35"/>
      <c r="P216" s="35"/>
      <c r="Q216" s="35"/>
      <c r="R216" s="35"/>
      <c r="S216" s="35"/>
      <c r="T216" s="35"/>
      <c r="U216" s="35"/>
      <c r="AE216" s="65"/>
      <c r="AF216" s="65"/>
      <c r="AG216" s="65"/>
      <c r="AH216" s="65"/>
      <c r="AI216" s="65"/>
      <c r="AJ216" s="65"/>
      <c r="AK216" s="65"/>
      <c r="AL216" s="65"/>
      <c r="AM216" s="65"/>
      <c r="AN216" s="65"/>
      <c r="AO216" s="65"/>
      <c r="AP216" s="65"/>
      <c r="AQ216" s="65"/>
      <c r="AR216" s="65"/>
      <c r="AS216" s="65"/>
      <c r="AT216" s="65"/>
    </row>
    <row r="217" spans="2:46" s="32" customFormat="1" x14ac:dyDescent="0.2">
      <c r="B217" s="44"/>
      <c r="C217" s="44"/>
      <c r="D217" s="35"/>
      <c r="E217" s="35"/>
      <c r="F217" s="35"/>
      <c r="G217" s="35"/>
      <c r="H217" s="35"/>
      <c r="I217" s="35"/>
      <c r="J217" s="35"/>
      <c r="K217" s="35"/>
      <c r="L217" s="35"/>
      <c r="M217" s="35"/>
      <c r="N217" s="35"/>
      <c r="O217" s="35"/>
      <c r="P217" s="35"/>
      <c r="Q217" s="35"/>
      <c r="R217" s="35"/>
      <c r="S217" s="35"/>
      <c r="T217" s="35"/>
      <c r="U217" s="35"/>
      <c r="AE217" s="65"/>
      <c r="AF217" s="65"/>
      <c r="AG217" s="65"/>
      <c r="AH217" s="65"/>
      <c r="AI217" s="65"/>
      <c r="AJ217" s="65"/>
      <c r="AK217" s="65"/>
      <c r="AL217" s="65"/>
      <c r="AM217" s="65"/>
      <c r="AN217" s="65"/>
      <c r="AO217" s="65"/>
      <c r="AP217" s="65"/>
      <c r="AQ217" s="65"/>
      <c r="AR217" s="65"/>
      <c r="AS217" s="65"/>
      <c r="AT217" s="65"/>
    </row>
    <row r="218" spans="2:46" s="32" customFormat="1" x14ac:dyDescent="0.2">
      <c r="B218" s="44"/>
      <c r="C218" s="44"/>
      <c r="D218" s="35"/>
      <c r="E218" s="35"/>
      <c r="F218" s="35"/>
      <c r="G218" s="35"/>
      <c r="H218" s="35"/>
      <c r="I218" s="35"/>
      <c r="J218" s="35"/>
      <c r="K218" s="35"/>
      <c r="L218" s="35"/>
      <c r="M218" s="35"/>
      <c r="N218" s="35"/>
      <c r="O218" s="35"/>
      <c r="P218" s="35"/>
      <c r="Q218" s="35"/>
      <c r="R218" s="35"/>
      <c r="S218" s="35"/>
      <c r="T218" s="35"/>
      <c r="U218" s="35"/>
      <c r="AE218" s="65"/>
      <c r="AF218" s="65"/>
      <c r="AG218" s="65"/>
      <c r="AH218" s="65"/>
      <c r="AI218" s="65"/>
      <c r="AJ218" s="65"/>
      <c r="AK218" s="65"/>
      <c r="AL218" s="65"/>
      <c r="AM218" s="65"/>
      <c r="AN218" s="65"/>
      <c r="AO218" s="65"/>
      <c r="AP218" s="65"/>
      <c r="AQ218" s="65"/>
      <c r="AR218" s="65"/>
      <c r="AS218" s="65"/>
      <c r="AT218" s="65"/>
    </row>
    <row r="219" spans="2:46" s="32" customFormat="1" x14ac:dyDescent="0.2">
      <c r="B219" s="44"/>
      <c r="C219" s="44"/>
      <c r="D219" s="35"/>
      <c r="E219" s="35"/>
      <c r="F219" s="35"/>
      <c r="G219" s="35"/>
      <c r="H219" s="35"/>
      <c r="I219" s="35"/>
      <c r="J219" s="35"/>
      <c r="K219" s="35"/>
      <c r="L219" s="35"/>
      <c r="M219" s="35"/>
      <c r="N219" s="35"/>
      <c r="O219" s="35"/>
      <c r="P219" s="35"/>
      <c r="Q219" s="35"/>
      <c r="R219" s="35"/>
      <c r="S219" s="35"/>
      <c r="T219" s="35"/>
      <c r="U219" s="35"/>
      <c r="AE219" s="65"/>
      <c r="AF219" s="65"/>
      <c r="AG219" s="65"/>
      <c r="AH219" s="65"/>
      <c r="AI219" s="65"/>
      <c r="AJ219" s="65"/>
      <c r="AK219" s="65"/>
      <c r="AL219" s="65"/>
      <c r="AM219" s="65"/>
      <c r="AN219" s="65"/>
      <c r="AO219" s="65"/>
      <c r="AP219" s="65"/>
      <c r="AQ219" s="65"/>
      <c r="AR219" s="65"/>
      <c r="AS219" s="65"/>
      <c r="AT219" s="65"/>
    </row>
    <row r="220" spans="2:46" s="32" customFormat="1" x14ac:dyDescent="0.2">
      <c r="B220" s="44"/>
      <c r="C220" s="44"/>
      <c r="D220" s="35"/>
      <c r="E220" s="35"/>
      <c r="F220" s="35"/>
      <c r="G220" s="35"/>
      <c r="H220" s="35"/>
      <c r="I220" s="35"/>
      <c r="J220" s="35"/>
      <c r="K220" s="35"/>
      <c r="L220" s="35"/>
      <c r="M220" s="35"/>
      <c r="N220" s="35"/>
      <c r="O220" s="35"/>
      <c r="P220" s="35"/>
      <c r="Q220" s="35"/>
      <c r="R220" s="35"/>
      <c r="S220" s="35"/>
      <c r="T220" s="35"/>
      <c r="U220" s="35"/>
      <c r="AE220" s="65"/>
      <c r="AF220" s="65"/>
      <c r="AG220" s="65"/>
      <c r="AH220" s="65"/>
      <c r="AI220" s="65"/>
      <c r="AJ220" s="65"/>
      <c r="AK220" s="65"/>
      <c r="AL220" s="65"/>
      <c r="AM220" s="65"/>
      <c r="AN220" s="65"/>
      <c r="AO220" s="65"/>
      <c r="AP220" s="65"/>
      <c r="AQ220" s="65"/>
      <c r="AR220" s="65"/>
      <c r="AS220" s="65"/>
      <c r="AT220" s="65"/>
    </row>
    <row r="221" spans="2:46" s="32" customFormat="1" x14ac:dyDescent="0.2">
      <c r="B221" s="44"/>
      <c r="C221" s="44"/>
      <c r="D221" s="35"/>
      <c r="E221" s="35"/>
      <c r="F221" s="35"/>
      <c r="G221" s="35"/>
      <c r="H221" s="35"/>
      <c r="I221" s="35"/>
      <c r="J221" s="35"/>
      <c r="K221" s="35"/>
      <c r="L221" s="35"/>
      <c r="M221" s="35"/>
      <c r="N221" s="35"/>
      <c r="O221" s="35"/>
      <c r="P221" s="35"/>
      <c r="Q221" s="35"/>
      <c r="R221" s="35"/>
      <c r="S221" s="35"/>
      <c r="T221" s="35"/>
      <c r="U221" s="35"/>
      <c r="AE221" s="65"/>
      <c r="AF221" s="65"/>
      <c r="AG221" s="65"/>
      <c r="AH221" s="65"/>
      <c r="AI221" s="65"/>
      <c r="AJ221" s="65"/>
      <c r="AK221" s="65"/>
      <c r="AL221" s="65"/>
      <c r="AM221" s="65"/>
      <c r="AN221" s="65"/>
      <c r="AO221" s="65"/>
      <c r="AP221" s="65"/>
      <c r="AQ221" s="65"/>
      <c r="AR221" s="65"/>
      <c r="AS221" s="65"/>
      <c r="AT221" s="65"/>
    </row>
    <row r="222" spans="2:46" s="32" customFormat="1" x14ac:dyDescent="0.2">
      <c r="B222" s="44"/>
      <c r="C222" s="44"/>
      <c r="D222" s="35"/>
      <c r="E222" s="35"/>
      <c r="F222" s="35"/>
      <c r="G222" s="35"/>
      <c r="H222" s="35"/>
      <c r="I222" s="35"/>
      <c r="J222" s="35"/>
      <c r="K222" s="35"/>
      <c r="L222" s="35"/>
      <c r="M222" s="35"/>
      <c r="N222" s="35"/>
      <c r="O222" s="35"/>
      <c r="P222" s="35"/>
      <c r="Q222" s="35"/>
      <c r="R222" s="35"/>
      <c r="S222" s="35"/>
      <c r="T222" s="35"/>
      <c r="U222" s="35"/>
      <c r="AE222" s="65"/>
      <c r="AF222" s="65"/>
      <c r="AG222" s="65"/>
      <c r="AH222" s="65"/>
      <c r="AI222" s="65"/>
      <c r="AJ222" s="65"/>
      <c r="AK222" s="65"/>
      <c r="AL222" s="65"/>
      <c r="AM222" s="65"/>
      <c r="AN222" s="65"/>
      <c r="AO222" s="65"/>
      <c r="AP222" s="65"/>
      <c r="AQ222" s="65"/>
      <c r="AR222" s="65"/>
      <c r="AS222" s="65"/>
      <c r="AT222" s="65"/>
    </row>
    <row r="223" spans="2:46" s="32" customFormat="1" x14ac:dyDescent="0.2">
      <c r="B223" s="44"/>
      <c r="C223" s="44"/>
      <c r="D223" s="35"/>
      <c r="E223" s="35"/>
      <c r="F223" s="35"/>
      <c r="G223" s="35"/>
      <c r="H223" s="35"/>
      <c r="I223" s="35"/>
      <c r="J223" s="35"/>
      <c r="K223" s="35"/>
      <c r="L223" s="35"/>
      <c r="M223" s="35"/>
      <c r="N223" s="35"/>
      <c r="O223" s="35"/>
      <c r="P223" s="35"/>
      <c r="Q223" s="35"/>
      <c r="R223" s="35"/>
      <c r="S223" s="35"/>
      <c r="T223" s="35"/>
      <c r="U223" s="35"/>
      <c r="AE223" s="65"/>
      <c r="AF223" s="65"/>
      <c r="AG223" s="65"/>
      <c r="AH223" s="65"/>
      <c r="AI223" s="65"/>
      <c r="AJ223" s="65"/>
      <c r="AK223" s="65"/>
      <c r="AL223" s="65"/>
      <c r="AM223" s="65"/>
      <c r="AN223" s="65"/>
      <c r="AO223" s="65"/>
      <c r="AP223" s="65"/>
      <c r="AQ223" s="65"/>
      <c r="AR223" s="65"/>
      <c r="AS223" s="65"/>
      <c r="AT223" s="65"/>
    </row>
    <row r="224" spans="2:46" s="32" customFormat="1" x14ac:dyDescent="0.2">
      <c r="B224" s="44"/>
      <c r="C224" s="44"/>
      <c r="D224" s="35"/>
      <c r="E224" s="35"/>
      <c r="F224" s="35"/>
      <c r="G224" s="35"/>
      <c r="H224" s="35"/>
      <c r="I224" s="35"/>
      <c r="J224" s="35"/>
      <c r="K224" s="35"/>
      <c r="L224" s="35"/>
      <c r="M224" s="35"/>
      <c r="N224" s="35"/>
      <c r="O224" s="35"/>
      <c r="P224" s="35"/>
      <c r="Q224" s="35"/>
      <c r="R224" s="35"/>
      <c r="S224" s="35"/>
      <c r="T224" s="35"/>
      <c r="U224" s="35"/>
      <c r="AE224" s="65"/>
      <c r="AF224" s="65"/>
      <c r="AG224" s="65"/>
      <c r="AH224" s="65"/>
      <c r="AI224" s="65"/>
      <c r="AJ224" s="65"/>
      <c r="AK224" s="65"/>
      <c r="AL224" s="65"/>
      <c r="AM224" s="65"/>
      <c r="AN224" s="65"/>
      <c r="AO224" s="65"/>
      <c r="AP224" s="65"/>
      <c r="AQ224" s="65"/>
      <c r="AR224" s="65"/>
      <c r="AS224" s="65"/>
      <c r="AT224" s="65"/>
    </row>
    <row r="225" spans="2:46" s="32" customFormat="1" x14ac:dyDescent="0.2">
      <c r="B225" s="44"/>
      <c r="C225" s="44"/>
      <c r="D225" s="35"/>
      <c r="E225" s="35"/>
      <c r="F225" s="35"/>
      <c r="G225" s="35"/>
      <c r="H225" s="35"/>
      <c r="I225" s="35"/>
      <c r="J225" s="35"/>
      <c r="K225" s="35"/>
      <c r="L225" s="35"/>
      <c r="M225" s="35"/>
      <c r="N225" s="35"/>
      <c r="O225" s="35"/>
      <c r="P225" s="35"/>
      <c r="Q225" s="35"/>
      <c r="R225" s="35"/>
      <c r="S225" s="35"/>
      <c r="T225" s="35"/>
      <c r="U225" s="35"/>
      <c r="AE225" s="65"/>
      <c r="AF225" s="65"/>
      <c r="AG225" s="65"/>
      <c r="AH225" s="65"/>
      <c r="AI225" s="65"/>
      <c r="AJ225" s="65"/>
      <c r="AK225" s="65"/>
      <c r="AL225" s="65"/>
      <c r="AM225" s="65"/>
      <c r="AN225" s="65"/>
      <c r="AO225" s="65"/>
      <c r="AP225" s="65"/>
      <c r="AQ225" s="65"/>
      <c r="AR225" s="65"/>
      <c r="AS225" s="65"/>
      <c r="AT225" s="65"/>
    </row>
    <row r="226" spans="2:46" s="32" customFormat="1" x14ac:dyDescent="0.2">
      <c r="B226" s="44"/>
      <c r="C226" s="44"/>
      <c r="D226" s="35"/>
      <c r="E226" s="35"/>
      <c r="F226" s="35"/>
      <c r="G226" s="35"/>
      <c r="H226" s="35"/>
      <c r="I226" s="35"/>
      <c r="J226" s="35"/>
      <c r="K226" s="35"/>
      <c r="L226" s="35"/>
      <c r="M226" s="35"/>
      <c r="N226" s="35"/>
      <c r="O226" s="35"/>
      <c r="P226" s="35"/>
      <c r="Q226" s="35"/>
      <c r="R226" s="35"/>
      <c r="S226" s="35"/>
      <c r="T226" s="35"/>
      <c r="U226" s="35"/>
      <c r="AE226" s="65"/>
      <c r="AF226" s="65"/>
      <c r="AG226" s="65"/>
      <c r="AH226" s="65"/>
      <c r="AI226" s="65"/>
      <c r="AJ226" s="65"/>
      <c r="AK226" s="65"/>
      <c r="AL226" s="65"/>
      <c r="AM226" s="65"/>
      <c r="AN226" s="65"/>
      <c r="AO226" s="65"/>
      <c r="AP226" s="65"/>
      <c r="AQ226" s="65"/>
      <c r="AR226" s="65"/>
      <c r="AS226" s="65"/>
      <c r="AT226" s="65"/>
    </row>
    <row r="227" spans="2:46" s="32" customFormat="1" x14ac:dyDescent="0.2">
      <c r="B227" s="44"/>
      <c r="C227" s="44"/>
      <c r="D227" s="35"/>
      <c r="E227" s="35"/>
      <c r="F227" s="35"/>
      <c r="G227" s="35"/>
      <c r="H227" s="35"/>
      <c r="I227" s="35"/>
      <c r="J227" s="35"/>
      <c r="K227" s="35"/>
      <c r="L227" s="35"/>
      <c r="M227" s="35"/>
      <c r="N227" s="35"/>
      <c r="O227" s="35"/>
      <c r="P227" s="35"/>
      <c r="Q227" s="35"/>
      <c r="R227" s="35"/>
      <c r="S227" s="35"/>
      <c r="T227" s="35"/>
      <c r="U227" s="35"/>
      <c r="AE227" s="65"/>
      <c r="AF227" s="65"/>
      <c r="AG227" s="65"/>
      <c r="AH227" s="65"/>
      <c r="AI227" s="65"/>
      <c r="AJ227" s="65"/>
      <c r="AK227" s="65"/>
      <c r="AL227" s="65"/>
      <c r="AM227" s="65"/>
      <c r="AN227" s="65"/>
      <c r="AO227" s="65"/>
      <c r="AP227" s="65"/>
      <c r="AQ227" s="65"/>
      <c r="AR227" s="65"/>
      <c r="AS227" s="65"/>
      <c r="AT227" s="65"/>
    </row>
    <row r="228" spans="2:46" s="32" customFormat="1" x14ac:dyDescent="0.2">
      <c r="B228" s="44"/>
      <c r="C228" s="44"/>
      <c r="D228" s="35"/>
      <c r="E228" s="35"/>
      <c r="F228" s="35"/>
      <c r="G228" s="35"/>
      <c r="H228" s="35"/>
      <c r="I228" s="35"/>
      <c r="J228" s="35"/>
      <c r="K228" s="35"/>
      <c r="L228" s="35"/>
      <c r="M228" s="35"/>
      <c r="N228" s="35"/>
      <c r="O228" s="35"/>
      <c r="P228" s="35"/>
      <c r="Q228" s="35"/>
      <c r="R228" s="35"/>
      <c r="S228" s="35"/>
      <c r="T228" s="35"/>
      <c r="U228" s="35"/>
      <c r="AE228" s="65"/>
      <c r="AF228" s="65"/>
      <c r="AG228" s="65"/>
      <c r="AH228" s="65"/>
      <c r="AI228" s="65"/>
      <c r="AJ228" s="65"/>
      <c r="AK228" s="65"/>
      <c r="AL228" s="65"/>
      <c r="AM228" s="65"/>
      <c r="AN228" s="65"/>
      <c r="AO228" s="65"/>
      <c r="AP228" s="65"/>
      <c r="AQ228" s="65"/>
      <c r="AR228" s="65"/>
      <c r="AS228" s="65"/>
      <c r="AT228" s="65"/>
    </row>
    <row r="229" spans="2:46" s="32" customFormat="1" x14ac:dyDescent="0.2">
      <c r="B229" s="44"/>
      <c r="C229" s="44"/>
      <c r="D229" s="35"/>
      <c r="E229" s="35"/>
      <c r="F229" s="35"/>
      <c r="G229" s="35"/>
      <c r="H229" s="35"/>
      <c r="I229" s="35"/>
      <c r="J229" s="35"/>
      <c r="K229" s="35"/>
      <c r="L229" s="35"/>
      <c r="M229" s="35"/>
      <c r="N229" s="35"/>
      <c r="O229" s="35"/>
      <c r="P229" s="35"/>
      <c r="Q229" s="35"/>
      <c r="R229" s="35"/>
      <c r="S229" s="35"/>
      <c r="T229" s="35"/>
      <c r="U229" s="35"/>
      <c r="AE229" s="65"/>
      <c r="AF229" s="65"/>
      <c r="AG229" s="65"/>
      <c r="AH229" s="65"/>
      <c r="AI229" s="65"/>
      <c r="AJ229" s="65"/>
      <c r="AK229" s="65"/>
      <c r="AL229" s="65"/>
      <c r="AM229" s="65"/>
      <c r="AN229" s="65"/>
      <c r="AO229" s="65"/>
      <c r="AP229" s="65"/>
      <c r="AQ229" s="65"/>
      <c r="AR229" s="65"/>
      <c r="AS229" s="65"/>
      <c r="AT229" s="65"/>
    </row>
    <row r="230" spans="2:46" s="32" customFormat="1" x14ac:dyDescent="0.2">
      <c r="B230" s="44"/>
      <c r="C230" s="44"/>
      <c r="D230" s="35"/>
      <c r="E230" s="35"/>
      <c r="F230" s="35"/>
      <c r="G230" s="35"/>
      <c r="H230" s="35"/>
      <c r="I230" s="35"/>
      <c r="J230" s="35"/>
      <c r="K230" s="35"/>
      <c r="L230" s="35"/>
      <c r="M230" s="35"/>
      <c r="N230" s="35"/>
      <c r="O230" s="35"/>
      <c r="P230" s="35"/>
      <c r="Q230" s="35"/>
      <c r="R230" s="35"/>
      <c r="S230" s="35"/>
      <c r="T230" s="35"/>
      <c r="U230" s="35"/>
      <c r="AE230" s="65"/>
      <c r="AF230" s="65"/>
      <c r="AG230" s="65"/>
      <c r="AH230" s="65"/>
      <c r="AI230" s="65"/>
      <c r="AJ230" s="65"/>
      <c r="AK230" s="65"/>
      <c r="AL230" s="65"/>
      <c r="AM230" s="65"/>
      <c r="AN230" s="65"/>
      <c r="AO230" s="65"/>
      <c r="AP230" s="65"/>
      <c r="AQ230" s="65"/>
      <c r="AR230" s="65"/>
      <c r="AS230" s="65"/>
      <c r="AT230" s="65"/>
    </row>
    <row r="231" spans="2:46" s="32" customFormat="1" x14ac:dyDescent="0.2">
      <c r="B231" s="44"/>
      <c r="C231" s="44"/>
      <c r="D231" s="35"/>
      <c r="E231" s="35"/>
      <c r="F231" s="35"/>
      <c r="G231" s="35"/>
      <c r="H231" s="35"/>
      <c r="I231" s="35"/>
      <c r="J231" s="35"/>
      <c r="K231" s="35"/>
      <c r="L231" s="35"/>
      <c r="M231" s="35"/>
      <c r="N231" s="35"/>
      <c r="O231" s="35"/>
      <c r="P231" s="35"/>
      <c r="Q231" s="35"/>
      <c r="R231" s="35"/>
      <c r="S231" s="35"/>
      <c r="T231" s="35"/>
      <c r="U231" s="35"/>
      <c r="AE231" s="65"/>
      <c r="AF231" s="65"/>
      <c r="AG231" s="65"/>
      <c r="AH231" s="65"/>
      <c r="AI231" s="65"/>
      <c r="AJ231" s="65"/>
      <c r="AK231" s="65"/>
      <c r="AL231" s="65"/>
      <c r="AM231" s="65"/>
      <c r="AN231" s="65"/>
      <c r="AO231" s="65"/>
      <c r="AP231" s="65"/>
      <c r="AQ231" s="65"/>
      <c r="AR231" s="65"/>
      <c r="AS231" s="65"/>
      <c r="AT231" s="65"/>
    </row>
    <row r="232" spans="2:46" s="32" customFormat="1" x14ac:dyDescent="0.2">
      <c r="B232" s="44"/>
      <c r="C232" s="44"/>
      <c r="D232" s="35"/>
      <c r="E232" s="35"/>
      <c r="F232" s="35"/>
      <c r="G232" s="35"/>
      <c r="H232" s="35"/>
      <c r="I232" s="35"/>
      <c r="J232" s="35"/>
      <c r="K232" s="35"/>
      <c r="L232" s="35"/>
      <c r="M232" s="35"/>
      <c r="N232" s="35"/>
      <c r="O232" s="35"/>
      <c r="P232" s="35"/>
      <c r="Q232" s="35"/>
      <c r="R232" s="35"/>
      <c r="S232" s="35"/>
      <c r="T232" s="35"/>
      <c r="U232" s="35"/>
      <c r="AE232" s="65"/>
      <c r="AF232" s="65"/>
      <c r="AG232" s="65"/>
      <c r="AH232" s="65"/>
      <c r="AI232" s="65"/>
      <c r="AJ232" s="65"/>
      <c r="AK232" s="65"/>
      <c r="AL232" s="65"/>
      <c r="AM232" s="65"/>
      <c r="AN232" s="65"/>
      <c r="AO232" s="65"/>
      <c r="AP232" s="65"/>
      <c r="AQ232" s="65"/>
      <c r="AR232" s="65"/>
      <c r="AS232" s="65"/>
      <c r="AT232" s="65"/>
    </row>
    <row r="233" spans="2:46" s="32" customFormat="1" x14ac:dyDescent="0.2">
      <c r="B233" s="44"/>
      <c r="C233" s="44"/>
      <c r="D233" s="35"/>
      <c r="E233" s="35"/>
      <c r="F233" s="35"/>
      <c r="G233" s="35"/>
      <c r="H233" s="35"/>
      <c r="I233" s="35"/>
      <c r="J233" s="35"/>
      <c r="K233" s="35"/>
      <c r="L233" s="35"/>
      <c r="M233" s="35"/>
      <c r="N233" s="35"/>
      <c r="O233" s="35"/>
      <c r="P233" s="35"/>
      <c r="Q233" s="35"/>
      <c r="R233" s="35"/>
      <c r="S233" s="35"/>
      <c r="T233" s="35"/>
      <c r="U233" s="35"/>
      <c r="AE233" s="65"/>
      <c r="AF233" s="65"/>
      <c r="AG233" s="65"/>
      <c r="AH233" s="65"/>
      <c r="AI233" s="65"/>
      <c r="AJ233" s="65"/>
      <c r="AK233" s="65"/>
      <c r="AL233" s="65"/>
      <c r="AM233" s="65"/>
      <c r="AN233" s="65"/>
      <c r="AO233" s="65"/>
      <c r="AP233" s="65"/>
      <c r="AQ233" s="65"/>
      <c r="AR233" s="65"/>
      <c r="AS233" s="65"/>
      <c r="AT233" s="65"/>
    </row>
    <row r="234" spans="2:46" s="32" customFormat="1" x14ac:dyDescent="0.2">
      <c r="B234" s="44"/>
      <c r="C234" s="44"/>
      <c r="D234" s="35"/>
      <c r="E234" s="35"/>
      <c r="F234" s="35"/>
      <c r="G234" s="35"/>
      <c r="H234" s="35"/>
      <c r="I234" s="35"/>
      <c r="J234" s="35"/>
      <c r="K234" s="35"/>
      <c r="L234" s="35"/>
      <c r="M234" s="35"/>
      <c r="N234" s="35"/>
      <c r="O234" s="35"/>
      <c r="P234" s="35"/>
      <c r="Q234" s="35"/>
      <c r="R234" s="35"/>
      <c r="S234" s="35"/>
      <c r="T234" s="35"/>
      <c r="U234" s="35"/>
      <c r="AE234" s="65"/>
      <c r="AF234" s="65"/>
      <c r="AG234" s="65"/>
      <c r="AH234" s="65"/>
      <c r="AI234" s="65"/>
      <c r="AJ234" s="65"/>
      <c r="AK234" s="65"/>
      <c r="AL234" s="65"/>
      <c r="AM234" s="65"/>
      <c r="AN234" s="65"/>
      <c r="AO234" s="65"/>
      <c r="AP234" s="65"/>
      <c r="AQ234" s="65"/>
      <c r="AR234" s="65"/>
      <c r="AS234" s="65"/>
      <c r="AT234" s="65"/>
    </row>
    <row r="235" spans="2:46" s="32" customFormat="1" x14ac:dyDescent="0.2">
      <c r="B235" s="44"/>
      <c r="C235" s="44"/>
      <c r="D235" s="35"/>
      <c r="E235" s="35"/>
      <c r="F235" s="35"/>
      <c r="G235" s="35"/>
      <c r="H235" s="35"/>
      <c r="I235" s="35"/>
      <c r="J235" s="35"/>
      <c r="K235" s="35"/>
      <c r="L235" s="35"/>
      <c r="M235" s="35"/>
      <c r="N235" s="35"/>
      <c r="O235" s="35"/>
      <c r="P235" s="35"/>
      <c r="Q235" s="35"/>
      <c r="R235" s="35"/>
      <c r="S235" s="35"/>
      <c r="T235" s="35"/>
      <c r="U235" s="35"/>
      <c r="AE235" s="65"/>
      <c r="AF235" s="65"/>
      <c r="AG235" s="65"/>
      <c r="AH235" s="65"/>
      <c r="AI235" s="65"/>
      <c r="AJ235" s="65"/>
      <c r="AK235" s="65"/>
      <c r="AL235" s="65"/>
      <c r="AM235" s="65"/>
      <c r="AN235" s="65"/>
      <c r="AO235" s="65"/>
      <c r="AP235" s="65"/>
      <c r="AQ235" s="65"/>
      <c r="AR235" s="65"/>
      <c r="AS235" s="65"/>
      <c r="AT235" s="65"/>
    </row>
    <row r="236" spans="2:46" s="32" customFormat="1" x14ac:dyDescent="0.2">
      <c r="B236" s="44"/>
      <c r="C236" s="44"/>
      <c r="D236" s="35"/>
      <c r="E236" s="35"/>
      <c r="F236" s="35"/>
      <c r="G236" s="35"/>
      <c r="H236" s="35"/>
      <c r="I236" s="35"/>
      <c r="J236" s="35"/>
      <c r="K236" s="35"/>
      <c r="L236" s="35"/>
      <c r="M236" s="35"/>
      <c r="N236" s="35"/>
      <c r="O236" s="35"/>
      <c r="P236" s="35"/>
      <c r="Q236" s="35"/>
      <c r="R236" s="35"/>
      <c r="S236" s="35"/>
      <c r="T236" s="35"/>
      <c r="U236" s="35"/>
      <c r="AE236" s="65"/>
      <c r="AF236" s="65"/>
      <c r="AG236" s="65"/>
      <c r="AH236" s="65"/>
      <c r="AI236" s="65"/>
      <c r="AJ236" s="65"/>
      <c r="AK236" s="65"/>
      <c r="AL236" s="65"/>
      <c r="AM236" s="65"/>
      <c r="AN236" s="65"/>
      <c r="AO236" s="65"/>
      <c r="AP236" s="65"/>
      <c r="AQ236" s="65"/>
      <c r="AR236" s="65"/>
      <c r="AS236" s="65"/>
      <c r="AT236" s="65"/>
    </row>
    <row r="237" spans="2:46" s="32" customFormat="1" x14ac:dyDescent="0.2">
      <c r="B237" s="44"/>
      <c r="C237" s="44"/>
      <c r="D237" s="35"/>
      <c r="E237" s="35"/>
      <c r="F237" s="35"/>
      <c r="G237" s="35"/>
      <c r="H237" s="35"/>
      <c r="I237" s="35"/>
      <c r="J237" s="35"/>
      <c r="K237" s="35"/>
      <c r="L237" s="35"/>
      <c r="M237" s="35"/>
      <c r="N237" s="35"/>
      <c r="O237" s="35"/>
      <c r="P237" s="35"/>
      <c r="Q237" s="35"/>
      <c r="R237" s="35"/>
      <c r="S237" s="35"/>
      <c r="T237" s="35"/>
      <c r="U237" s="35"/>
      <c r="AE237" s="65"/>
      <c r="AF237" s="65"/>
      <c r="AG237" s="65"/>
      <c r="AH237" s="65"/>
      <c r="AI237" s="65"/>
      <c r="AJ237" s="65"/>
      <c r="AK237" s="65"/>
      <c r="AL237" s="65"/>
      <c r="AM237" s="65"/>
      <c r="AN237" s="65"/>
      <c r="AO237" s="65"/>
      <c r="AP237" s="65"/>
      <c r="AQ237" s="65"/>
      <c r="AR237" s="65"/>
      <c r="AS237" s="65"/>
      <c r="AT237" s="65"/>
    </row>
    <row r="238" spans="2:46" s="32" customFormat="1" x14ac:dyDescent="0.2">
      <c r="B238" s="44"/>
      <c r="C238" s="44"/>
      <c r="D238" s="35"/>
      <c r="E238" s="35"/>
      <c r="F238" s="35"/>
      <c r="G238" s="35"/>
      <c r="H238" s="35"/>
      <c r="I238" s="35"/>
      <c r="J238" s="35"/>
      <c r="K238" s="35"/>
      <c r="L238" s="35"/>
      <c r="M238" s="35"/>
      <c r="N238" s="35"/>
      <c r="O238" s="35"/>
      <c r="P238" s="35"/>
      <c r="Q238" s="35"/>
      <c r="R238" s="35"/>
      <c r="S238" s="35"/>
      <c r="T238" s="35"/>
      <c r="U238" s="35"/>
      <c r="AE238" s="65"/>
      <c r="AF238" s="65"/>
      <c r="AG238" s="65"/>
      <c r="AH238" s="65"/>
      <c r="AI238" s="65"/>
      <c r="AJ238" s="65"/>
      <c r="AK238" s="65"/>
      <c r="AL238" s="65"/>
      <c r="AM238" s="65"/>
      <c r="AN238" s="65"/>
      <c r="AO238" s="65"/>
      <c r="AP238" s="65"/>
      <c r="AQ238" s="65"/>
      <c r="AR238" s="65"/>
      <c r="AS238" s="65"/>
      <c r="AT238" s="65"/>
    </row>
    <row r="239" spans="2:46" s="32" customFormat="1" x14ac:dyDescent="0.2">
      <c r="B239" s="44"/>
      <c r="C239" s="44"/>
      <c r="D239" s="35"/>
      <c r="E239" s="35"/>
      <c r="F239" s="35"/>
      <c r="G239" s="35"/>
      <c r="H239" s="35"/>
      <c r="I239" s="35"/>
      <c r="J239" s="35"/>
      <c r="K239" s="35"/>
      <c r="L239" s="35"/>
      <c r="M239" s="35"/>
      <c r="N239" s="35"/>
      <c r="O239" s="35"/>
      <c r="P239" s="35"/>
      <c r="Q239" s="35"/>
      <c r="R239" s="35"/>
      <c r="S239" s="35"/>
      <c r="T239" s="35"/>
      <c r="U239" s="35"/>
      <c r="AE239" s="65"/>
      <c r="AF239" s="65"/>
      <c r="AG239" s="65"/>
      <c r="AH239" s="65"/>
      <c r="AI239" s="65"/>
      <c r="AJ239" s="65"/>
      <c r="AK239" s="65"/>
      <c r="AL239" s="65"/>
      <c r="AM239" s="65"/>
      <c r="AN239" s="65"/>
      <c r="AO239" s="65"/>
      <c r="AP239" s="65"/>
      <c r="AQ239" s="65"/>
      <c r="AR239" s="65"/>
      <c r="AS239" s="65"/>
      <c r="AT239" s="65"/>
    </row>
    <row r="240" spans="2:46" s="32" customFormat="1" x14ac:dyDescent="0.2">
      <c r="B240" s="44"/>
      <c r="C240" s="44"/>
      <c r="D240" s="35"/>
      <c r="E240" s="35"/>
      <c r="F240" s="35"/>
      <c r="G240" s="35"/>
      <c r="H240" s="35"/>
      <c r="I240" s="35"/>
      <c r="J240" s="35"/>
      <c r="K240" s="35"/>
      <c r="L240" s="35"/>
      <c r="M240" s="35"/>
      <c r="N240" s="35"/>
      <c r="O240" s="35"/>
      <c r="P240" s="35"/>
      <c r="Q240" s="35"/>
      <c r="R240" s="35"/>
      <c r="S240" s="35"/>
      <c r="T240" s="35"/>
      <c r="U240" s="35"/>
      <c r="AE240" s="65"/>
      <c r="AF240" s="65"/>
      <c r="AG240" s="65"/>
      <c r="AH240" s="65"/>
      <c r="AI240" s="65"/>
      <c r="AJ240" s="65"/>
      <c r="AK240" s="65"/>
      <c r="AL240" s="65"/>
      <c r="AM240" s="65"/>
      <c r="AN240" s="65"/>
      <c r="AO240" s="65"/>
      <c r="AP240" s="65"/>
      <c r="AQ240" s="65"/>
      <c r="AR240" s="65"/>
      <c r="AS240" s="65"/>
      <c r="AT240" s="65"/>
    </row>
    <row r="241" spans="2:46" s="32" customFormat="1" x14ac:dyDescent="0.2">
      <c r="B241" s="44"/>
      <c r="C241" s="44"/>
      <c r="D241" s="35"/>
      <c r="E241" s="35"/>
      <c r="F241" s="35"/>
      <c r="G241" s="35"/>
      <c r="H241" s="35"/>
      <c r="I241" s="35"/>
      <c r="J241" s="35"/>
      <c r="K241" s="35"/>
      <c r="L241" s="35"/>
      <c r="M241" s="35"/>
      <c r="N241" s="35"/>
      <c r="O241" s="35"/>
      <c r="P241" s="35"/>
      <c r="Q241" s="35"/>
      <c r="R241" s="35"/>
      <c r="S241" s="35"/>
      <c r="T241" s="35"/>
      <c r="U241" s="35"/>
      <c r="AE241" s="65"/>
      <c r="AF241" s="65"/>
      <c r="AG241" s="65"/>
      <c r="AH241" s="65"/>
      <c r="AI241" s="65"/>
      <c r="AJ241" s="65"/>
      <c r="AK241" s="65"/>
      <c r="AL241" s="65"/>
      <c r="AM241" s="65"/>
      <c r="AN241" s="65"/>
      <c r="AO241" s="65"/>
      <c r="AP241" s="65"/>
      <c r="AQ241" s="65"/>
      <c r="AR241" s="65"/>
      <c r="AS241" s="65"/>
      <c r="AT241" s="65"/>
    </row>
    <row r="242" spans="2:46" s="32" customFormat="1" x14ac:dyDescent="0.2">
      <c r="B242" s="44"/>
      <c r="C242" s="44"/>
      <c r="D242" s="35"/>
      <c r="E242" s="35"/>
      <c r="F242" s="35"/>
      <c r="G242" s="35"/>
      <c r="H242" s="35"/>
      <c r="I242" s="35"/>
      <c r="J242" s="35"/>
      <c r="K242" s="35"/>
      <c r="L242" s="35"/>
      <c r="M242" s="35"/>
      <c r="N242" s="35"/>
      <c r="O242" s="35"/>
      <c r="P242" s="35"/>
      <c r="Q242" s="35"/>
      <c r="R242" s="35"/>
      <c r="S242" s="35"/>
      <c r="T242" s="35"/>
      <c r="U242" s="35"/>
      <c r="AE242" s="65"/>
      <c r="AF242" s="65"/>
      <c r="AG242" s="65"/>
      <c r="AH242" s="65"/>
      <c r="AI242" s="65"/>
      <c r="AJ242" s="65"/>
      <c r="AK242" s="65"/>
      <c r="AL242" s="65"/>
      <c r="AM242" s="65"/>
      <c r="AN242" s="65"/>
      <c r="AO242" s="65"/>
      <c r="AP242" s="65"/>
      <c r="AQ242" s="65"/>
      <c r="AR242" s="65"/>
      <c r="AS242" s="65"/>
      <c r="AT242" s="65"/>
    </row>
    <row r="243" spans="2:46" s="32" customFormat="1" x14ac:dyDescent="0.2">
      <c r="B243" s="44"/>
      <c r="C243" s="44"/>
      <c r="D243" s="35"/>
      <c r="E243" s="35"/>
      <c r="F243" s="35"/>
      <c r="G243" s="35"/>
      <c r="H243" s="35"/>
      <c r="I243" s="35"/>
      <c r="J243" s="35"/>
      <c r="K243" s="35"/>
      <c r="L243" s="35"/>
      <c r="M243" s="35"/>
      <c r="N243" s="35"/>
      <c r="O243" s="35"/>
      <c r="P243" s="35"/>
      <c r="Q243" s="35"/>
      <c r="R243" s="35"/>
      <c r="S243" s="35"/>
      <c r="T243" s="35"/>
      <c r="U243" s="35"/>
      <c r="AE243" s="65"/>
      <c r="AF243" s="65"/>
      <c r="AG243" s="65"/>
      <c r="AH243" s="65"/>
      <c r="AI243" s="65"/>
      <c r="AJ243" s="65"/>
      <c r="AK243" s="65"/>
      <c r="AL243" s="65"/>
      <c r="AM243" s="65"/>
      <c r="AN243" s="65"/>
      <c r="AO243" s="65"/>
      <c r="AP243" s="65"/>
      <c r="AQ243" s="65"/>
      <c r="AR243" s="65"/>
      <c r="AS243" s="65"/>
      <c r="AT243" s="65"/>
    </row>
    <row r="244" spans="2:46" s="32" customFormat="1" x14ac:dyDescent="0.2">
      <c r="B244" s="44"/>
      <c r="C244" s="44"/>
      <c r="D244" s="35"/>
      <c r="E244" s="35"/>
      <c r="F244" s="35"/>
      <c r="G244" s="35"/>
      <c r="H244" s="35"/>
      <c r="I244" s="35"/>
      <c r="J244" s="35"/>
      <c r="K244" s="35"/>
      <c r="L244" s="35"/>
      <c r="M244" s="35"/>
      <c r="N244" s="35"/>
      <c r="O244" s="35"/>
      <c r="P244" s="35"/>
      <c r="Q244" s="35"/>
      <c r="R244" s="35"/>
      <c r="S244" s="35"/>
      <c r="T244" s="35"/>
      <c r="U244" s="35"/>
      <c r="AE244" s="65"/>
      <c r="AF244" s="65"/>
      <c r="AG244" s="65"/>
      <c r="AH244" s="65"/>
      <c r="AI244" s="65"/>
      <c r="AJ244" s="65"/>
      <c r="AK244" s="65"/>
      <c r="AL244" s="65"/>
      <c r="AM244" s="65"/>
      <c r="AN244" s="65"/>
      <c r="AO244" s="65"/>
      <c r="AP244" s="65"/>
      <c r="AQ244" s="65"/>
      <c r="AR244" s="65"/>
      <c r="AS244" s="65"/>
      <c r="AT244" s="65"/>
    </row>
    <row r="245" spans="2:46" s="32" customFormat="1" x14ac:dyDescent="0.2">
      <c r="B245" s="44"/>
      <c r="C245" s="44"/>
      <c r="D245" s="35"/>
      <c r="E245" s="35"/>
      <c r="F245" s="35"/>
      <c r="G245" s="35"/>
      <c r="H245" s="35"/>
      <c r="I245" s="35"/>
      <c r="J245" s="35"/>
      <c r="K245" s="35"/>
      <c r="L245" s="35"/>
      <c r="M245" s="35"/>
      <c r="N245" s="35"/>
      <c r="O245" s="35"/>
      <c r="P245" s="35"/>
      <c r="Q245" s="35"/>
      <c r="R245" s="35"/>
      <c r="S245" s="35"/>
      <c r="T245" s="35"/>
      <c r="U245" s="35"/>
      <c r="AE245" s="65"/>
      <c r="AF245" s="65"/>
      <c r="AG245" s="65"/>
      <c r="AH245" s="65"/>
      <c r="AI245" s="65"/>
      <c r="AJ245" s="65"/>
      <c r="AK245" s="65"/>
      <c r="AL245" s="65"/>
      <c r="AM245" s="65"/>
      <c r="AN245" s="65"/>
      <c r="AO245" s="65"/>
      <c r="AP245" s="65"/>
      <c r="AQ245" s="65"/>
      <c r="AR245" s="65"/>
      <c r="AS245" s="65"/>
      <c r="AT245" s="65"/>
    </row>
    <row r="246" spans="2:46" s="32" customFormat="1" x14ac:dyDescent="0.2">
      <c r="B246" s="44"/>
      <c r="C246" s="44"/>
      <c r="D246" s="35"/>
      <c r="E246" s="35"/>
      <c r="F246" s="35"/>
      <c r="G246" s="35"/>
      <c r="H246" s="35"/>
      <c r="I246" s="35"/>
      <c r="J246" s="35"/>
      <c r="K246" s="35"/>
      <c r="L246" s="35"/>
      <c r="M246" s="35"/>
      <c r="N246" s="35"/>
      <c r="O246" s="35"/>
      <c r="P246" s="35"/>
      <c r="Q246" s="35"/>
      <c r="R246" s="35"/>
      <c r="S246" s="35"/>
      <c r="T246" s="35"/>
      <c r="U246" s="35"/>
      <c r="AE246" s="65"/>
      <c r="AF246" s="65"/>
      <c r="AG246" s="65"/>
      <c r="AH246" s="65"/>
      <c r="AI246" s="65"/>
      <c r="AJ246" s="65"/>
      <c r="AK246" s="65"/>
      <c r="AL246" s="65"/>
      <c r="AM246" s="65"/>
      <c r="AN246" s="65"/>
      <c r="AO246" s="65"/>
      <c r="AP246" s="65"/>
      <c r="AQ246" s="65"/>
      <c r="AR246" s="65"/>
      <c r="AS246" s="65"/>
      <c r="AT246" s="65"/>
    </row>
    <row r="247" spans="2:46" s="32" customFormat="1" x14ac:dyDescent="0.2">
      <c r="B247" s="44"/>
      <c r="C247" s="44"/>
      <c r="D247" s="35"/>
      <c r="E247" s="35"/>
      <c r="F247" s="35"/>
      <c r="G247" s="35"/>
      <c r="H247" s="35"/>
      <c r="I247" s="35"/>
      <c r="J247" s="35"/>
      <c r="K247" s="35"/>
      <c r="L247" s="35"/>
      <c r="M247" s="35"/>
      <c r="N247" s="35"/>
      <c r="O247" s="35"/>
      <c r="P247" s="35"/>
      <c r="Q247" s="35"/>
      <c r="R247" s="35"/>
      <c r="S247" s="35"/>
      <c r="T247" s="35"/>
      <c r="U247" s="35"/>
      <c r="AE247" s="65"/>
      <c r="AF247" s="65"/>
      <c r="AG247" s="65"/>
      <c r="AH247" s="65"/>
      <c r="AI247" s="65"/>
      <c r="AJ247" s="65"/>
      <c r="AK247" s="65"/>
      <c r="AL247" s="65"/>
      <c r="AM247" s="65"/>
      <c r="AN247" s="65"/>
      <c r="AO247" s="65"/>
      <c r="AP247" s="65"/>
      <c r="AQ247" s="65"/>
      <c r="AR247" s="65"/>
      <c r="AS247" s="65"/>
      <c r="AT247" s="65"/>
    </row>
    <row r="248" spans="2:46" s="32" customFormat="1" x14ac:dyDescent="0.2">
      <c r="B248" s="44"/>
      <c r="C248" s="44"/>
      <c r="D248" s="35"/>
      <c r="E248" s="35"/>
      <c r="F248" s="35"/>
      <c r="G248" s="35"/>
      <c r="H248" s="35"/>
      <c r="I248" s="35"/>
      <c r="J248" s="35"/>
      <c r="K248" s="35"/>
      <c r="L248" s="35"/>
      <c r="M248" s="35"/>
      <c r="N248" s="35"/>
      <c r="O248" s="35"/>
      <c r="P248" s="35"/>
      <c r="Q248" s="35"/>
      <c r="R248" s="35"/>
      <c r="S248" s="35"/>
      <c r="T248" s="35"/>
      <c r="U248" s="35"/>
      <c r="AE248" s="65"/>
      <c r="AF248" s="65"/>
      <c r="AG248" s="65"/>
      <c r="AH248" s="65"/>
      <c r="AI248" s="65"/>
      <c r="AJ248" s="65"/>
      <c r="AK248" s="65"/>
      <c r="AL248" s="65"/>
      <c r="AM248" s="65"/>
      <c r="AN248" s="65"/>
      <c r="AO248" s="65"/>
      <c r="AP248" s="65"/>
      <c r="AQ248" s="65"/>
      <c r="AR248" s="65"/>
      <c r="AS248" s="65"/>
      <c r="AT248" s="65"/>
    </row>
    <row r="249" spans="2:46" s="32" customFormat="1" x14ac:dyDescent="0.2">
      <c r="B249" s="44"/>
      <c r="C249" s="44"/>
      <c r="D249" s="35"/>
      <c r="E249" s="35"/>
      <c r="F249" s="35"/>
      <c r="G249" s="35"/>
      <c r="H249" s="35"/>
      <c r="I249" s="35"/>
      <c r="J249" s="35"/>
      <c r="K249" s="35"/>
      <c r="L249" s="35"/>
      <c r="M249" s="35"/>
      <c r="N249" s="35"/>
      <c r="O249" s="35"/>
      <c r="P249" s="35"/>
      <c r="Q249" s="35"/>
      <c r="R249" s="35"/>
      <c r="S249" s="35"/>
      <c r="T249" s="35"/>
      <c r="U249" s="35"/>
      <c r="AE249" s="65"/>
      <c r="AF249" s="65"/>
      <c r="AG249" s="65"/>
      <c r="AH249" s="65"/>
      <c r="AI249" s="65"/>
      <c r="AJ249" s="65"/>
      <c r="AK249" s="65"/>
      <c r="AL249" s="65"/>
      <c r="AM249" s="65"/>
      <c r="AN249" s="65"/>
      <c r="AO249" s="65"/>
      <c r="AP249" s="65"/>
      <c r="AQ249" s="65"/>
      <c r="AR249" s="65"/>
      <c r="AS249" s="65"/>
      <c r="AT249" s="65"/>
    </row>
    <row r="250" spans="2:46" s="32" customFormat="1" x14ac:dyDescent="0.2">
      <c r="B250" s="44"/>
      <c r="C250" s="44"/>
      <c r="D250" s="35"/>
      <c r="E250" s="35"/>
      <c r="F250" s="35"/>
      <c r="G250" s="35"/>
      <c r="H250" s="35"/>
      <c r="I250" s="35"/>
      <c r="J250" s="35"/>
      <c r="K250" s="35"/>
      <c r="L250" s="35"/>
      <c r="M250" s="35"/>
      <c r="N250" s="35"/>
      <c r="O250" s="35"/>
      <c r="P250" s="35"/>
      <c r="Q250" s="35"/>
      <c r="R250" s="35"/>
      <c r="S250" s="35"/>
      <c r="T250" s="35"/>
      <c r="U250" s="35"/>
      <c r="AE250" s="65"/>
      <c r="AF250" s="65"/>
      <c r="AG250" s="65"/>
      <c r="AH250" s="65"/>
      <c r="AI250" s="65"/>
      <c r="AJ250" s="65"/>
      <c r="AK250" s="65"/>
      <c r="AL250" s="65"/>
      <c r="AM250" s="65"/>
      <c r="AN250" s="65"/>
      <c r="AO250" s="65"/>
      <c r="AP250" s="65"/>
      <c r="AQ250" s="65"/>
      <c r="AR250" s="65"/>
      <c r="AS250" s="65"/>
      <c r="AT250" s="65"/>
    </row>
    <row r="251" spans="2:46" s="32" customFormat="1" x14ac:dyDescent="0.2">
      <c r="B251" s="44"/>
      <c r="C251" s="44"/>
      <c r="D251" s="35"/>
      <c r="E251" s="35"/>
      <c r="F251" s="35"/>
      <c r="G251" s="35"/>
      <c r="H251" s="35"/>
      <c r="I251" s="35"/>
      <c r="J251" s="35"/>
      <c r="K251" s="35"/>
      <c r="L251" s="35"/>
      <c r="M251" s="35"/>
      <c r="N251" s="35"/>
      <c r="O251" s="35"/>
      <c r="P251" s="35"/>
      <c r="Q251" s="35"/>
      <c r="R251" s="35"/>
      <c r="S251" s="35"/>
      <c r="T251" s="35"/>
      <c r="U251" s="35"/>
      <c r="AE251" s="65"/>
      <c r="AF251" s="65"/>
      <c r="AG251" s="65"/>
      <c r="AH251" s="65"/>
      <c r="AI251" s="65"/>
      <c r="AJ251" s="65"/>
      <c r="AK251" s="65"/>
      <c r="AL251" s="65"/>
      <c r="AM251" s="65"/>
      <c r="AN251" s="65"/>
      <c r="AO251" s="65"/>
      <c r="AP251" s="65"/>
      <c r="AQ251" s="65"/>
      <c r="AR251" s="65"/>
      <c r="AS251" s="65"/>
      <c r="AT251" s="65"/>
    </row>
    <row r="252" spans="2:46" s="32" customFormat="1" x14ac:dyDescent="0.2">
      <c r="B252" s="44"/>
      <c r="C252" s="44"/>
      <c r="D252" s="35"/>
      <c r="E252" s="35"/>
      <c r="F252" s="35"/>
      <c r="G252" s="35"/>
      <c r="H252" s="35"/>
      <c r="I252" s="35"/>
      <c r="J252" s="35"/>
      <c r="K252" s="35"/>
      <c r="L252" s="35"/>
      <c r="M252" s="35"/>
      <c r="N252" s="35"/>
      <c r="O252" s="35"/>
      <c r="P252" s="35"/>
      <c r="Q252" s="35"/>
      <c r="R252" s="35"/>
      <c r="S252" s="35"/>
      <c r="T252" s="35"/>
      <c r="U252" s="35"/>
      <c r="AE252" s="65"/>
      <c r="AF252" s="65"/>
      <c r="AG252" s="65"/>
      <c r="AH252" s="65"/>
      <c r="AI252" s="65"/>
      <c r="AJ252" s="65"/>
      <c r="AK252" s="65"/>
      <c r="AL252" s="65"/>
      <c r="AM252" s="65"/>
      <c r="AN252" s="65"/>
      <c r="AO252" s="65"/>
      <c r="AP252" s="65"/>
      <c r="AQ252" s="65"/>
      <c r="AR252" s="65"/>
      <c r="AS252" s="65"/>
      <c r="AT252" s="65"/>
    </row>
    <row r="253" spans="2:46" s="32" customFormat="1" x14ac:dyDescent="0.2">
      <c r="B253" s="44"/>
      <c r="C253" s="44"/>
      <c r="D253" s="35"/>
      <c r="E253" s="35"/>
      <c r="F253" s="35"/>
      <c r="G253" s="35"/>
      <c r="H253" s="35"/>
      <c r="I253" s="35"/>
      <c r="J253" s="35"/>
      <c r="K253" s="35"/>
      <c r="L253" s="35"/>
      <c r="M253" s="35"/>
      <c r="N253" s="35"/>
      <c r="O253" s="35"/>
      <c r="P253" s="35"/>
      <c r="Q253" s="35"/>
      <c r="R253" s="35"/>
      <c r="S253" s="35"/>
      <c r="T253" s="35"/>
      <c r="U253" s="35"/>
      <c r="AE253" s="65"/>
      <c r="AF253" s="65"/>
      <c r="AG253" s="65"/>
      <c r="AH253" s="65"/>
      <c r="AI253" s="65"/>
      <c r="AJ253" s="65"/>
      <c r="AK253" s="65"/>
      <c r="AL253" s="65"/>
      <c r="AM253" s="65"/>
      <c r="AN253" s="65"/>
      <c r="AO253" s="65"/>
      <c r="AP253" s="65"/>
      <c r="AQ253" s="65"/>
      <c r="AR253" s="65"/>
      <c r="AS253" s="65"/>
      <c r="AT253" s="65"/>
    </row>
    <row r="254" spans="2:46" s="32" customFormat="1" x14ac:dyDescent="0.2">
      <c r="B254" s="44"/>
      <c r="C254" s="44"/>
      <c r="D254" s="35"/>
      <c r="E254" s="35"/>
      <c r="F254" s="35"/>
      <c r="G254" s="35"/>
      <c r="H254" s="35"/>
      <c r="I254" s="35"/>
      <c r="J254" s="35"/>
      <c r="K254" s="35"/>
      <c r="L254" s="35"/>
      <c r="M254" s="35"/>
      <c r="N254" s="35"/>
      <c r="O254" s="35"/>
      <c r="P254" s="35"/>
      <c r="Q254" s="35"/>
      <c r="R254" s="35"/>
      <c r="S254" s="35"/>
      <c r="T254" s="35"/>
      <c r="U254" s="35"/>
      <c r="AE254" s="65"/>
      <c r="AF254" s="65"/>
      <c r="AG254" s="65"/>
      <c r="AH254" s="65"/>
      <c r="AI254" s="65"/>
      <c r="AJ254" s="65"/>
      <c r="AK254" s="65"/>
      <c r="AL254" s="65"/>
      <c r="AM254" s="65"/>
      <c r="AN254" s="65"/>
      <c r="AO254" s="65"/>
      <c r="AP254" s="65"/>
      <c r="AQ254" s="65"/>
      <c r="AR254" s="65"/>
      <c r="AS254" s="65"/>
      <c r="AT254" s="65"/>
    </row>
    <row r="255" spans="2:46" s="32" customFormat="1" x14ac:dyDescent="0.2">
      <c r="B255" s="44"/>
      <c r="C255" s="44"/>
      <c r="D255" s="35"/>
      <c r="E255" s="35"/>
      <c r="F255" s="35"/>
      <c r="G255" s="35"/>
      <c r="H255" s="35"/>
      <c r="I255" s="35"/>
      <c r="J255" s="35"/>
      <c r="K255" s="35"/>
      <c r="L255" s="35"/>
      <c r="M255" s="35"/>
      <c r="N255" s="35"/>
      <c r="O255" s="35"/>
      <c r="P255" s="35"/>
      <c r="Q255" s="35"/>
      <c r="R255" s="35"/>
      <c r="S255" s="35"/>
      <c r="T255" s="35"/>
      <c r="U255" s="35"/>
      <c r="AE255" s="65"/>
      <c r="AF255" s="65"/>
      <c r="AG255" s="65"/>
      <c r="AH255" s="65"/>
      <c r="AI255" s="65"/>
      <c r="AJ255" s="65"/>
      <c r="AK255" s="65"/>
      <c r="AL255" s="65"/>
      <c r="AM255" s="65"/>
      <c r="AN255" s="65"/>
      <c r="AO255" s="65"/>
      <c r="AP255" s="65"/>
      <c r="AQ255" s="65"/>
      <c r="AR255" s="65"/>
      <c r="AS255" s="65"/>
      <c r="AT255" s="65"/>
    </row>
    <row r="256" spans="2:46" s="32" customFormat="1" x14ac:dyDescent="0.2">
      <c r="B256" s="44"/>
      <c r="C256" s="44"/>
      <c r="D256" s="35"/>
      <c r="E256" s="35"/>
      <c r="F256" s="35"/>
      <c r="G256" s="35"/>
      <c r="H256" s="35"/>
      <c r="I256" s="35"/>
      <c r="J256" s="35"/>
      <c r="K256" s="35"/>
      <c r="L256" s="35"/>
      <c r="M256" s="35"/>
      <c r="N256" s="35"/>
      <c r="O256" s="35"/>
      <c r="P256" s="35"/>
      <c r="Q256" s="35"/>
      <c r="R256" s="35"/>
      <c r="S256" s="35"/>
      <c r="T256" s="35"/>
      <c r="U256" s="35"/>
      <c r="AE256" s="65"/>
      <c r="AF256" s="65"/>
      <c r="AG256" s="65"/>
      <c r="AH256" s="65"/>
      <c r="AI256" s="65"/>
      <c r="AJ256" s="65"/>
      <c r="AK256" s="65"/>
      <c r="AL256" s="65"/>
      <c r="AM256" s="65"/>
      <c r="AN256" s="65"/>
      <c r="AO256" s="65"/>
      <c r="AP256" s="65"/>
      <c r="AQ256" s="65"/>
      <c r="AR256" s="65"/>
      <c r="AS256" s="65"/>
      <c r="AT256" s="65"/>
    </row>
    <row r="257" spans="2:46" s="32" customFormat="1" x14ac:dyDescent="0.2">
      <c r="B257" s="44"/>
      <c r="C257" s="44"/>
      <c r="D257" s="35"/>
      <c r="E257" s="35"/>
      <c r="F257" s="35"/>
      <c r="G257" s="35"/>
      <c r="H257" s="35"/>
      <c r="I257" s="35"/>
      <c r="J257" s="35"/>
      <c r="K257" s="35"/>
      <c r="L257" s="35"/>
      <c r="M257" s="35"/>
      <c r="N257" s="35"/>
      <c r="O257" s="35"/>
      <c r="P257" s="35"/>
      <c r="Q257" s="35"/>
      <c r="R257" s="35"/>
      <c r="S257" s="35"/>
      <c r="T257" s="35"/>
      <c r="U257" s="35"/>
      <c r="AE257" s="65"/>
      <c r="AF257" s="65"/>
      <c r="AG257" s="65"/>
      <c r="AH257" s="65"/>
      <c r="AI257" s="65"/>
      <c r="AJ257" s="65"/>
      <c r="AK257" s="65"/>
      <c r="AL257" s="65"/>
      <c r="AM257" s="65"/>
      <c r="AN257" s="65"/>
      <c r="AO257" s="65"/>
      <c r="AP257" s="65"/>
      <c r="AQ257" s="65"/>
      <c r="AR257" s="65"/>
      <c r="AS257" s="65"/>
      <c r="AT257" s="65"/>
    </row>
    <row r="258" spans="2:46" s="32" customFormat="1" x14ac:dyDescent="0.2">
      <c r="B258" s="44"/>
      <c r="C258" s="44"/>
      <c r="D258" s="35"/>
      <c r="E258" s="35"/>
      <c r="F258" s="35"/>
      <c r="G258" s="35"/>
      <c r="H258" s="35"/>
      <c r="I258" s="35"/>
      <c r="J258" s="35"/>
      <c r="K258" s="35"/>
      <c r="L258" s="35"/>
      <c r="M258" s="35"/>
      <c r="N258" s="35"/>
      <c r="O258" s="35"/>
      <c r="P258" s="35"/>
      <c r="Q258" s="35"/>
      <c r="R258" s="35"/>
      <c r="S258" s="35"/>
      <c r="T258" s="35"/>
      <c r="U258" s="35"/>
      <c r="AE258" s="65"/>
      <c r="AF258" s="65"/>
      <c r="AG258" s="65"/>
      <c r="AH258" s="65"/>
      <c r="AI258" s="65"/>
      <c r="AJ258" s="65"/>
      <c r="AK258" s="65"/>
      <c r="AL258" s="65"/>
      <c r="AM258" s="65"/>
      <c r="AN258" s="65"/>
      <c r="AO258" s="65"/>
      <c r="AP258" s="65"/>
      <c r="AQ258" s="65"/>
      <c r="AR258" s="65"/>
      <c r="AS258" s="65"/>
      <c r="AT258" s="65"/>
    </row>
    <row r="259" spans="2:46" s="32" customFormat="1" x14ac:dyDescent="0.2">
      <c r="B259" s="44"/>
      <c r="C259" s="44"/>
      <c r="D259" s="35"/>
      <c r="E259" s="35"/>
      <c r="F259" s="35"/>
      <c r="G259" s="35"/>
      <c r="H259" s="35"/>
      <c r="I259" s="35"/>
      <c r="J259" s="35"/>
      <c r="K259" s="35"/>
      <c r="L259" s="35"/>
      <c r="M259" s="35"/>
      <c r="N259" s="35"/>
      <c r="O259" s="35"/>
      <c r="P259" s="35"/>
      <c r="Q259" s="35"/>
      <c r="R259" s="35"/>
      <c r="S259" s="35"/>
      <c r="T259" s="35"/>
      <c r="U259" s="35"/>
      <c r="AE259" s="65"/>
      <c r="AF259" s="65"/>
      <c r="AG259" s="65"/>
      <c r="AH259" s="65"/>
      <c r="AI259" s="65"/>
      <c r="AJ259" s="65"/>
      <c r="AK259" s="65"/>
      <c r="AL259" s="65"/>
      <c r="AM259" s="65"/>
      <c r="AN259" s="65"/>
      <c r="AO259" s="65"/>
      <c r="AP259" s="65"/>
      <c r="AQ259" s="65"/>
      <c r="AR259" s="65"/>
      <c r="AS259" s="65"/>
      <c r="AT259" s="65"/>
    </row>
    <row r="260" spans="2:46" s="32" customFormat="1" x14ac:dyDescent="0.2">
      <c r="B260" s="44"/>
      <c r="C260" s="44"/>
      <c r="D260" s="35"/>
      <c r="E260" s="35"/>
      <c r="F260" s="35"/>
      <c r="G260" s="35"/>
      <c r="H260" s="35"/>
      <c r="I260" s="35"/>
      <c r="J260" s="35"/>
      <c r="K260" s="35"/>
      <c r="L260" s="35"/>
      <c r="M260" s="35"/>
      <c r="N260" s="35"/>
      <c r="O260" s="35"/>
      <c r="P260" s="35"/>
      <c r="Q260" s="35"/>
      <c r="R260" s="35"/>
      <c r="S260" s="35"/>
      <c r="T260" s="35"/>
      <c r="U260" s="35"/>
      <c r="AE260" s="65"/>
      <c r="AF260" s="65"/>
      <c r="AG260" s="65"/>
      <c r="AH260" s="65"/>
      <c r="AI260" s="65"/>
      <c r="AJ260" s="65"/>
      <c r="AK260" s="65"/>
      <c r="AL260" s="65"/>
      <c r="AM260" s="65"/>
      <c r="AN260" s="65"/>
      <c r="AO260" s="65"/>
      <c r="AP260" s="65"/>
      <c r="AQ260" s="65"/>
      <c r="AR260" s="65"/>
      <c r="AS260" s="65"/>
      <c r="AT260" s="65"/>
    </row>
    <row r="261" spans="2:46" s="32" customFormat="1" x14ac:dyDescent="0.2">
      <c r="B261" s="44"/>
      <c r="C261" s="44"/>
      <c r="D261" s="35"/>
      <c r="E261" s="35"/>
      <c r="F261" s="35"/>
      <c r="G261" s="35"/>
      <c r="H261" s="35"/>
      <c r="I261" s="35"/>
      <c r="J261" s="35"/>
      <c r="K261" s="35"/>
      <c r="L261" s="35"/>
      <c r="M261" s="35"/>
      <c r="N261" s="35"/>
      <c r="O261" s="35"/>
      <c r="P261" s="35"/>
      <c r="Q261" s="35"/>
      <c r="R261" s="35"/>
      <c r="S261" s="35"/>
      <c r="T261" s="35"/>
      <c r="U261" s="35"/>
      <c r="AE261" s="65"/>
      <c r="AF261" s="65"/>
      <c r="AG261" s="65"/>
      <c r="AH261" s="65"/>
      <c r="AI261" s="65"/>
      <c r="AJ261" s="65"/>
      <c r="AK261" s="65"/>
      <c r="AL261" s="65"/>
      <c r="AM261" s="65"/>
      <c r="AN261" s="65"/>
      <c r="AO261" s="65"/>
      <c r="AP261" s="65"/>
      <c r="AQ261" s="65"/>
      <c r="AR261" s="65"/>
      <c r="AS261" s="65"/>
      <c r="AT261" s="65"/>
    </row>
    <row r="262" spans="2:46" s="32" customFormat="1" x14ac:dyDescent="0.2">
      <c r="B262" s="44"/>
      <c r="C262" s="44"/>
      <c r="D262" s="35"/>
      <c r="E262" s="35"/>
      <c r="F262" s="35"/>
      <c r="G262" s="35"/>
      <c r="H262" s="35"/>
      <c r="I262" s="35"/>
      <c r="J262" s="35"/>
      <c r="K262" s="35"/>
      <c r="L262" s="35"/>
      <c r="M262" s="35"/>
      <c r="N262" s="35"/>
      <c r="O262" s="35"/>
      <c r="P262" s="35"/>
      <c r="Q262" s="35"/>
      <c r="R262" s="35"/>
      <c r="S262" s="35"/>
      <c r="T262" s="35"/>
      <c r="U262" s="35"/>
      <c r="AE262" s="65"/>
      <c r="AF262" s="65"/>
      <c r="AG262" s="65"/>
      <c r="AH262" s="65"/>
      <c r="AI262" s="65"/>
      <c r="AJ262" s="65"/>
      <c r="AK262" s="65"/>
      <c r="AL262" s="65"/>
      <c r="AM262" s="65"/>
      <c r="AN262" s="65"/>
      <c r="AO262" s="65"/>
      <c r="AP262" s="65"/>
      <c r="AQ262" s="65"/>
      <c r="AR262" s="65"/>
      <c r="AS262" s="65"/>
      <c r="AT262" s="65"/>
    </row>
    <row r="263" spans="2:46" s="32" customFormat="1" x14ac:dyDescent="0.2">
      <c r="B263" s="44"/>
      <c r="C263" s="44"/>
      <c r="D263" s="35"/>
      <c r="E263" s="35"/>
      <c r="F263" s="35"/>
      <c r="G263" s="35"/>
      <c r="H263" s="35"/>
      <c r="I263" s="35"/>
      <c r="J263" s="35"/>
      <c r="K263" s="35"/>
      <c r="L263" s="35"/>
      <c r="M263" s="35"/>
      <c r="N263" s="35"/>
      <c r="O263" s="35"/>
      <c r="P263" s="35"/>
      <c r="Q263" s="35"/>
      <c r="R263" s="35"/>
      <c r="S263" s="35"/>
      <c r="T263" s="35"/>
      <c r="U263" s="35"/>
      <c r="AE263" s="65"/>
      <c r="AF263" s="65"/>
      <c r="AG263" s="65"/>
      <c r="AH263" s="65"/>
      <c r="AI263" s="65"/>
      <c r="AJ263" s="65"/>
      <c r="AK263" s="65"/>
      <c r="AL263" s="65"/>
      <c r="AM263" s="65"/>
      <c r="AN263" s="65"/>
      <c r="AO263" s="65"/>
      <c r="AP263" s="65"/>
      <c r="AQ263" s="65"/>
      <c r="AR263" s="65"/>
      <c r="AS263" s="65"/>
      <c r="AT263" s="65"/>
    </row>
    <row r="264" spans="2:46" s="32" customFormat="1" x14ac:dyDescent="0.2">
      <c r="B264" s="44"/>
      <c r="C264" s="44"/>
      <c r="D264" s="35"/>
      <c r="E264" s="35"/>
      <c r="F264" s="35"/>
      <c r="G264" s="35"/>
      <c r="H264" s="35"/>
      <c r="I264" s="35"/>
      <c r="J264" s="35"/>
      <c r="K264" s="35"/>
      <c r="L264" s="35"/>
      <c r="M264" s="35"/>
      <c r="N264" s="35"/>
      <c r="O264" s="35"/>
      <c r="P264" s="35"/>
      <c r="Q264" s="35"/>
      <c r="R264" s="35"/>
      <c r="S264" s="35"/>
      <c r="T264" s="35"/>
      <c r="U264" s="35"/>
      <c r="AE264" s="65"/>
      <c r="AF264" s="65"/>
      <c r="AG264" s="65"/>
      <c r="AH264" s="65"/>
      <c r="AI264" s="65"/>
      <c r="AJ264" s="65"/>
      <c r="AK264" s="65"/>
      <c r="AL264" s="65"/>
      <c r="AM264" s="65"/>
      <c r="AN264" s="65"/>
      <c r="AO264" s="65"/>
      <c r="AP264" s="65"/>
      <c r="AQ264" s="65"/>
      <c r="AR264" s="65"/>
      <c r="AS264" s="65"/>
      <c r="AT264" s="65"/>
    </row>
    <row r="265" spans="2:46" s="32" customFormat="1" x14ac:dyDescent="0.2">
      <c r="B265" s="44"/>
      <c r="C265" s="44"/>
      <c r="D265" s="35"/>
      <c r="E265" s="35"/>
      <c r="F265" s="35"/>
      <c r="G265" s="35"/>
      <c r="H265" s="35"/>
      <c r="I265" s="35"/>
      <c r="J265" s="35"/>
      <c r="K265" s="35"/>
      <c r="L265" s="35"/>
      <c r="M265" s="35"/>
      <c r="N265" s="35"/>
      <c r="O265" s="35"/>
      <c r="P265" s="35"/>
      <c r="Q265" s="35"/>
      <c r="R265" s="35"/>
      <c r="S265" s="35"/>
      <c r="T265" s="35"/>
      <c r="U265" s="35"/>
      <c r="AE265" s="65"/>
      <c r="AF265" s="65"/>
      <c r="AG265" s="65"/>
      <c r="AH265" s="65"/>
      <c r="AI265" s="65"/>
      <c r="AJ265" s="65"/>
      <c r="AK265" s="65"/>
      <c r="AL265" s="65"/>
      <c r="AM265" s="65"/>
      <c r="AN265" s="65"/>
      <c r="AO265" s="65"/>
      <c r="AP265" s="65"/>
      <c r="AQ265" s="65"/>
      <c r="AR265" s="65"/>
      <c r="AS265" s="65"/>
      <c r="AT265" s="65"/>
    </row>
    <row r="266" spans="2:46" s="32" customFormat="1" x14ac:dyDescent="0.2">
      <c r="B266" s="44"/>
      <c r="C266" s="44"/>
      <c r="D266" s="35"/>
      <c r="E266" s="35"/>
      <c r="F266" s="35"/>
      <c r="G266" s="35"/>
      <c r="H266" s="35"/>
      <c r="I266" s="35"/>
      <c r="J266" s="35"/>
      <c r="K266" s="35"/>
      <c r="L266" s="35"/>
      <c r="M266" s="35"/>
      <c r="N266" s="35"/>
      <c r="O266" s="35"/>
      <c r="P266" s="35"/>
      <c r="Q266" s="35"/>
      <c r="R266" s="35"/>
      <c r="S266" s="35"/>
      <c r="T266" s="35"/>
      <c r="U266" s="35"/>
      <c r="AE266" s="65"/>
      <c r="AF266" s="65"/>
      <c r="AG266" s="65"/>
      <c r="AH266" s="65"/>
      <c r="AI266" s="65"/>
      <c r="AJ266" s="65"/>
      <c r="AK266" s="65"/>
      <c r="AL266" s="65"/>
      <c r="AM266" s="65"/>
      <c r="AN266" s="65"/>
      <c r="AO266" s="65"/>
      <c r="AP266" s="65"/>
      <c r="AQ266" s="65"/>
      <c r="AR266" s="65"/>
      <c r="AS266" s="65"/>
      <c r="AT266" s="65"/>
    </row>
    <row r="267" spans="2:46" s="32" customFormat="1" x14ac:dyDescent="0.2">
      <c r="B267" s="44"/>
      <c r="C267" s="44"/>
      <c r="D267" s="35"/>
      <c r="E267" s="35"/>
      <c r="F267" s="35"/>
      <c r="G267" s="35"/>
      <c r="H267" s="35"/>
      <c r="I267" s="35"/>
      <c r="J267" s="35"/>
      <c r="K267" s="35"/>
      <c r="L267" s="35"/>
      <c r="M267" s="35"/>
      <c r="N267" s="35"/>
      <c r="O267" s="35"/>
      <c r="P267" s="35"/>
      <c r="Q267" s="35"/>
      <c r="R267" s="35"/>
      <c r="S267" s="35"/>
      <c r="T267" s="35"/>
      <c r="U267" s="35"/>
      <c r="AE267" s="65"/>
      <c r="AF267" s="65"/>
      <c r="AG267" s="65"/>
      <c r="AH267" s="65"/>
      <c r="AI267" s="65"/>
      <c r="AJ267" s="65"/>
      <c r="AK267" s="65"/>
      <c r="AL267" s="65"/>
      <c r="AM267" s="65"/>
      <c r="AN267" s="65"/>
      <c r="AO267" s="65"/>
      <c r="AP267" s="65"/>
      <c r="AQ267" s="65"/>
      <c r="AR267" s="65"/>
      <c r="AS267" s="65"/>
      <c r="AT267" s="65"/>
    </row>
    <row r="268" spans="2:46" s="32" customFormat="1" x14ac:dyDescent="0.2">
      <c r="B268" s="44"/>
      <c r="C268" s="44"/>
      <c r="D268" s="35"/>
      <c r="E268" s="35"/>
      <c r="F268" s="35"/>
      <c r="G268" s="35"/>
      <c r="H268" s="35"/>
      <c r="I268" s="35"/>
      <c r="J268" s="35"/>
      <c r="K268" s="35"/>
      <c r="L268" s="35"/>
      <c r="M268" s="35"/>
      <c r="N268" s="35"/>
      <c r="O268" s="35"/>
      <c r="P268" s="35"/>
      <c r="Q268" s="35"/>
      <c r="R268" s="35"/>
      <c r="S268" s="35"/>
      <c r="T268" s="35"/>
      <c r="U268" s="35"/>
      <c r="AE268" s="65"/>
      <c r="AF268" s="65"/>
      <c r="AG268" s="65"/>
      <c r="AH268" s="65"/>
      <c r="AI268" s="65"/>
      <c r="AJ268" s="65"/>
      <c r="AK268" s="65"/>
      <c r="AL268" s="65"/>
      <c r="AM268" s="65"/>
      <c r="AN268" s="65"/>
      <c r="AO268" s="65"/>
      <c r="AP268" s="65"/>
      <c r="AQ268" s="65"/>
      <c r="AR268" s="65"/>
      <c r="AS268" s="65"/>
      <c r="AT268" s="65"/>
    </row>
    <row r="269" spans="2:46" s="32" customFormat="1" x14ac:dyDescent="0.2">
      <c r="B269" s="44"/>
      <c r="C269" s="44"/>
      <c r="D269" s="35"/>
      <c r="E269" s="35"/>
      <c r="F269" s="35"/>
      <c r="G269" s="35"/>
      <c r="H269" s="35"/>
      <c r="I269" s="35"/>
      <c r="J269" s="35"/>
      <c r="K269" s="35"/>
      <c r="L269" s="35"/>
      <c r="M269" s="35"/>
      <c r="N269" s="35"/>
      <c r="O269" s="35"/>
      <c r="P269" s="35"/>
      <c r="Q269" s="35"/>
      <c r="R269" s="35"/>
      <c r="S269" s="35"/>
      <c r="T269" s="35"/>
      <c r="U269" s="35"/>
      <c r="AE269" s="65"/>
      <c r="AF269" s="65"/>
      <c r="AG269" s="65"/>
      <c r="AH269" s="65"/>
      <c r="AI269" s="65"/>
      <c r="AJ269" s="65"/>
      <c r="AK269" s="65"/>
      <c r="AL269" s="65"/>
      <c r="AM269" s="65"/>
      <c r="AN269" s="65"/>
      <c r="AO269" s="65"/>
      <c r="AP269" s="65"/>
      <c r="AQ269" s="65"/>
      <c r="AR269" s="65"/>
      <c r="AS269" s="65"/>
      <c r="AT269" s="65"/>
    </row>
    <row r="270" spans="2:46" s="32" customFormat="1" x14ac:dyDescent="0.2">
      <c r="B270" s="44"/>
      <c r="C270" s="44"/>
      <c r="D270" s="35"/>
      <c r="E270" s="35"/>
      <c r="F270" s="35"/>
      <c r="G270" s="35"/>
      <c r="H270" s="35"/>
      <c r="I270" s="35"/>
      <c r="J270" s="35"/>
      <c r="K270" s="35"/>
      <c r="L270" s="35"/>
      <c r="M270" s="35"/>
      <c r="N270" s="35"/>
      <c r="O270" s="35"/>
      <c r="P270" s="35"/>
      <c r="Q270" s="35"/>
      <c r="R270" s="35"/>
      <c r="S270" s="35"/>
      <c r="T270" s="35"/>
      <c r="U270" s="35"/>
      <c r="AE270" s="65"/>
      <c r="AF270" s="65"/>
      <c r="AG270" s="65"/>
      <c r="AH270" s="65"/>
      <c r="AI270" s="65"/>
      <c r="AJ270" s="65"/>
      <c r="AK270" s="65"/>
      <c r="AL270" s="65"/>
      <c r="AM270" s="65"/>
      <c r="AN270" s="65"/>
      <c r="AO270" s="65"/>
      <c r="AP270" s="65"/>
      <c r="AQ270" s="65"/>
      <c r="AR270" s="65"/>
      <c r="AS270" s="65"/>
      <c r="AT270" s="65"/>
    </row>
    <row r="271" spans="2:46" s="32" customFormat="1" x14ac:dyDescent="0.2">
      <c r="B271" s="44"/>
      <c r="C271" s="44"/>
      <c r="D271" s="35"/>
      <c r="E271" s="35"/>
      <c r="F271" s="35"/>
      <c r="G271" s="35"/>
      <c r="H271" s="35"/>
      <c r="I271" s="35"/>
      <c r="J271" s="35"/>
      <c r="K271" s="35"/>
      <c r="L271" s="35"/>
      <c r="M271" s="35"/>
      <c r="N271" s="35"/>
      <c r="O271" s="35"/>
      <c r="P271" s="35"/>
      <c r="Q271" s="35"/>
      <c r="R271" s="35"/>
      <c r="S271" s="35"/>
      <c r="T271" s="35"/>
      <c r="U271" s="35"/>
      <c r="AE271" s="65"/>
      <c r="AF271" s="65"/>
      <c r="AG271" s="65"/>
      <c r="AH271" s="65"/>
      <c r="AI271" s="65"/>
      <c r="AJ271" s="65"/>
      <c r="AK271" s="65"/>
      <c r="AL271" s="65"/>
      <c r="AM271" s="65"/>
      <c r="AN271" s="65"/>
      <c r="AO271" s="65"/>
      <c r="AP271" s="65"/>
      <c r="AQ271" s="65"/>
      <c r="AR271" s="65"/>
      <c r="AS271" s="65"/>
      <c r="AT271" s="65"/>
    </row>
    <row r="272" spans="2:46" s="32" customFormat="1" x14ac:dyDescent="0.2">
      <c r="B272" s="44"/>
      <c r="C272" s="44"/>
      <c r="D272" s="35"/>
      <c r="E272" s="35"/>
      <c r="F272" s="35"/>
      <c r="G272" s="35"/>
      <c r="H272" s="35"/>
      <c r="I272" s="35"/>
      <c r="J272" s="35"/>
      <c r="K272" s="35"/>
      <c r="L272" s="35"/>
      <c r="M272" s="35"/>
      <c r="N272" s="35"/>
      <c r="O272" s="35"/>
      <c r="P272" s="35"/>
      <c r="Q272" s="35"/>
      <c r="R272" s="35"/>
      <c r="S272" s="35"/>
      <c r="T272" s="35"/>
      <c r="U272" s="35"/>
      <c r="AE272" s="65"/>
      <c r="AF272" s="65"/>
      <c r="AG272" s="65"/>
      <c r="AH272" s="65"/>
      <c r="AI272" s="65"/>
      <c r="AJ272" s="65"/>
      <c r="AK272" s="65"/>
      <c r="AL272" s="65"/>
      <c r="AM272" s="65"/>
      <c r="AN272" s="65"/>
      <c r="AO272" s="65"/>
      <c r="AP272" s="65"/>
      <c r="AQ272" s="65"/>
      <c r="AR272" s="65"/>
      <c r="AS272" s="65"/>
      <c r="AT272" s="65"/>
    </row>
    <row r="273" spans="2:46" s="32" customFormat="1" x14ac:dyDescent="0.2">
      <c r="B273" s="44"/>
      <c r="C273" s="44"/>
      <c r="D273" s="35"/>
      <c r="E273" s="35"/>
      <c r="F273" s="35"/>
      <c r="G273" s="35"/>
      <c r="H273" s="35"/>
      <c r="I273" s="35"/>
      <c r="J273" s="35"/>
      <c r="K273" s="35"/>
      <c r="L273" s="35"/>
      <c r="M273" s="35"/>
      <c r="N273" s="35"/>
      <c r="O273" s="35"/>
      <c r="P273" s="35"/>
      <c r="Q273" s="35"/>
      <c r="R273" s="35"/>
      <c r="S273" s="35"/>
      <c r="T273" s="35"/>
      <c r="U273" s="35"/>
      <c r="AE273" s="65"/>
      <c r="AF273" s="65"/>
      <c r="AG273" s="65"/>
      <c r="AH273" s="65"/>
      <c r="AI273" s="65"/>
      <c r="AJ273" s="65"/>
      <c r="AK273" s="65"/>
      <c r="AL273" s="65"/>
      <c r="AM273" s="65"/>
      <c r="AN273" s="65"/>
      <c r="AO273" s="65"/>
      <c r="AP273" s="65"/>
      <c r="AQ273" s="65"/>
      <c r="AR273" s="65"/>
      <c r="AS273" s="65"/>
      <c r="AT273" s="65"/>
    </row>
    <row r="274" spans="2:46" s="32" customFormat="1" x14ac:dyDescent="0.2">
      <c r="B274" s="44"/>
      <c r="C274" s="44"/>
      <c r="D274" s="35"/>
      <c r="E274" s="35"/>
      <c r="F274" s="35"/>
      <c r="G274" s="35"/>
      <c r="H274" s="35"/>
      <c r="I274" s="35"/>
      <c r="J274" s="35"/>
      <c r="K274" s="35"/>
      <c r="L274" s="35"/>
      <c r="M274" s="35"/>
      <c r="N274" s="35"/>
      <c r="O274" s="35"/>
      <c r="P274" s="35"/>
      <c r="Q274" s="35"/>
      <c r="R274" s="35"/>
      <c r="S274" s="35"/>
      <c r="T274" s="35"/>
      <c r="U274" s="35"/>
      <c r="AE274" s="65"/>
      <c r="AF274" s="65"/>
      <c r="AG274" s="65"/>
      <c r="AH274" s="65"/>
      <c r="AI274" s="65"/>
      <c r="AJ274" s="65"/>
      <c r="AK274" s="65"/>
      <c r="AL274" s="65"/>
      <c r="AM274" s="65"/>
      <c r="AN274" s="65"/>
      <c r="AO274" s="65"/>
      <c r="AP274" s="65"/>
      <c r="AQ274" s="65"/>
      <c r="AR274" s="65"/>
      <c r="AS274" s="65"/>
      <c r="AT274" s="65"/>
    </row>
    <row r="275" spans="2:46" s="32" customFormat="1" x14ac:dyDescent="0.2">
      <c r="B275" s="44"/>
      <c r="C275" s="44"/>
      <c r="D275" s="35"/>
      <c r="E275" s="35"/>
      <c r="F275" s="35"/>
      <c r="G275" s="35"/>
      <c r="H275" s="35"/>
      <c r="I275" s="35"/>
      <c r="J275" s="35"/>
      <c r="K275" s="35"/>
      <c r="L275" s="35"/>
      <c r="M275" s="35"/>
      <c r="N275" s="35"/>
      <c r="O275" s="35"/>
      <c r="P275" s="35"/>
      <c r="Q275" s="35"/>
      <c r="R275" s="35"/>
      <c r="S275" s="35"/>
      <c r="T275" s="35"/>
      <c r="U275" s="35"/>
      <c r="AE275" s="65"/>
      <c r="AF275" s="65"/>
      <c r="AG275" s="65"/>
      <c r="AH275" s="65"/>
      <c r="AI275" s="65"/>
      <c r="AJ275" s="65"/>
      <c r="AK275" s="65"/>
      <c r="AL275" s="65"/>
      <c r="AM275" s="65"/>
      <c r="AN275" s="65"/>
      <c r="AO275" s="65"/>
      <c r="AP275" s="65"/>
      <c r="AQ275" s="65"/>
      <c r="AR275" s="65"/>
      <c r="AS275" s="65"/>
      <c r="AT275" s="65"/>
    </row>
    <row r="276" spans="2:46" s="32" customFormat="1" x14ac:dyDescent="0.2">
      <c r="B276" s="44"/>
      <c r="C276" s="44"/>
      <c r="D276" s="35"/>
      <c r="E276" s="35"/>
      <c r="F276" s="35"/>
      <c r="G276" s="35"/>
      <c r="H276" s="35"/>
      <c r="I276" s="35"/>
      <c r="J276" s="35"/>
      <c r="K276" s="35"/>
      <c r="L276" s="35"/>
      <c r="M276" s="35"/>
      <c r="N276" s="35"/>
      <c r="O276" s="35"/>
      <c r="P276" s="35"/>
      <c r="Q276" s="35"/>
      <c r="R276" s="35"/>
      <c r="S276" s="35"/>
      <c r="T276" s="35"/>
      <c r="U276" s="35"/>
      <c r="AE276" s="65"/>
      <c r="AF276" s="65"/>
      <c r="AG276" s="65"/>
      <c r="AH276" s="65"/>
      <c r="AI276" s="65"/>
      <c r="AJ276" s="65"/>
      <c r="AK276" s="65"/>
      <c r="AL276" s="65"/>
      <c r="AM276" s="65"/>
      <c r="AN276" s="65"/>
      <c r="AO276" s="65"/>
      <c r="AP276" s="65"/>
      <c r="AQ276" s="65"/>
      <c r="AR276" s="65"/>
      <c r="AS276" s="65"/>
      <c r="AT276" s="65"/>
    </row>
    <row r="277" spans="2:46" s="32" customFormat="1" x14ac:dyDescent="0.2">
      <c r="B277" s="44"/>
      <c r="C277" s="44"/>
      <c r="D277" s="35"/>
      <c r="E277" s="35"/>
      <c r="F277" s="35"/>
      <c r="G277" s="35"/>
      <c r="H277" s="35"/>
      <c r="I277" s="35"/>
      <c r="J277" s="35"/>
      <c r="K277" s="35"/>
      <c r="L277" s="35"/>
      <c r="M277" s="35"/>
      <c r="N277" s="35"/>
      <c r="O277" s="35"/>
      <c r="P277" s="35"/>
      <c r="Q277" s="35"/>
      <c r="R277" s="35"/>
      <c r="S277" s="35"/>
      <c r="T277" s="35"/>
      <c r="U277" s="35"/>
      <c r="AE277" s="65"/>
      <c r="AF277" s="65"/>
      <c r="AG277" s="65"/>
      <c r="AH277" s="65"/>
      <c r="AI277" s="65"/>
      <c r="AJ277" s="65"/>
      <c r="AK277" s="65"/>
      <c r="AL277" s="65"/>
      <c r="AM277" s="65"/>
      <c r="AN277" s="65"/>
      <c r="AO277" s="65"/>
      <c r="AP277" s="65"/>
      <c r="AQ277" s="65"/>
      <c r="AR277" s="65"/>
      <c r="AS277" s="65"/>
      <c r="AT277" s="65"/>
    </row>
    <row r="278" spans="2:46" s="32" customFormat="1" x14ac:dyDescent="0.2">
      <c r="B278" s="44"/>
      <c r="C278" s="44"/>
      <c r="D278" s="35"/>
      <c r="E278" s="35"/>
      <c r="F278" s="35"/>
      <c r="G278" s="35"/>
      <c r="H278" s="35"/>
      <c r="I278" s="35"/>
      <c r="J278" s="35"/>
      <c r="K278" s="35"/>
      <c r="L278" s="35"/>
      <c r="M278" s="35"/>
      <c r="N278" s="35"/>
      <c r="O278" s="35"/>
      <c r="P278" s="35"/>
      <c r="Q278" s="35"/>
      <c r="R278" s="35"/>
      <c r="S278" s="35"/>
      <c r="T278" s="35"/>
      <c r="U278" s="35"/>
      <c r="AE278" s="65"/>
      <c r="AF278" s="65"/>
      <c r="AG278" s="65"/>
      <c r="AH278" s="65"/>
      <c r="AI278" s="65"/>
      <c r="AJ278" s="65"/>
      <c r="AK278" s="65"/>
      <c r="AL278" s="65"/>
      <c r="AM278" s="65"/>
      <c r="AN278" s="65"/>
      <c r="AO278" s="65"/>
      <c r="AP278" s="65"/>
      <c r="AQ278" s="65"/>
      <c r="AR278" s="65"/>
      <c r="AS278" s="65"/>
      <c r="AT278" s="65"/>
    </row>
    <row r="279" spans="2:46" s="32" customFormat="1" x14ac:dyDescent="0.2">
      <c r="B279" s="44"/>
      <c r="C279" s="44"/>
      <c r="D279" s="35"/>
      <c r="E279" s="35"/>
      <c r="F279" s="35"/>
      <c r="G279" s="35"/>
      <c r="H279" s="35"/>
      <c r="I279" s="35"/>
      <c r="J279" s="35"/>
      <c r="K279" s="35"/>
      <c r="L279" s="35"/>
      <c r="M279" s="35"/>
      <c r="N279" s="35"/>
      <c r="O279" s="35"/>
      <c r="P279" s="35"/>
      <c r="Q279" s="35"/>
      <c r="R279" s="35"/>
      <c r="S279" s="35"/>
      <c r="T279" s="35"/>
      <c r="U279" s="35"/>
      <c r="AE279" s="65"/>
      <c r="AF279" s="65"/>
      <c r="AG279" s="65"/>
      <c r="AH279" s="65"/>
      <c r="AI279" s="65"/>
      <c r="AJ279" s="65"/>
      <c r="AK279" s="65"/>
      <c r="AL279" s="65"/>
      <c r="AM279" s="65"/>
      <c r="AN279" s="65"/>
      <c r="AO279" s="65"/>
      <c r="AP279" s="65"/>
      <c r="AQ279" s="65"/>
      <c r="AR279" s="65"/>
      <c r="AS279" s="65"/>
      <c r="AT279" s="65"/>
    </row>
    <row r="280" spans="2:46" s="32" customFormat="1" x14ac:dyDescent="0.2">
      <c r="B280" s="44"/>
      <c r="C280" s="44"/>
      <c r="D280" s="35"/>
      <c r="E280" s="35"/>
      <c r="F280" s="35"/>
      <c r="G280" s="35"/>
      <c r="H280" s="35"/>
      <c r="I280" s="35"/>
      <c r="J280" s="35"/>
      <c r="K280" s="35"/>
      <c r="L280" s="35"/>
      <c r="M280" s="35"/>
      <c r="N280" s="35"/>
      <c r="O280" s="35"/>
      <c r="P280" s="35"/>
      <c r="Q280" s="35"/>
      <c r="R280" s="35"/>
      <c r="S280" s="35"/>
      <c r="T280" s="35"/>
      <c r="U280" s="35"/>
      <c r="AE280" s="65"/>
      <c r="AF280" s="65"/>
      <c r="AG280" s="65"/>
      <c r="AH280" s="65"/>
      <c r="AI280" s="65"/>
      <c r="AJ280" s="65"/>
      <c r="AK280" s="65"/>
      <c r="AL280" s="65"/>
      <c r="AM280" s="65"/>
      <c r="AN280" s="65"/>
      <c r="AO280" s="65"/>
      <c r="AP280" s="65"/>
      <c r="AQ280" s="65"/>
      <c r="AR280" s="65"/>
      <c r="AS280" s="65"/>
      <c r="AT280" s="65"/>
    </row>
    <row r="281" spans="2:46" s="32" customFormat="1" x14ac:dyDescent="0.2">
      <c r="B281" s="44"/>
      <c r="C281" s="44"/>
      <c r="D281" s="35"/>
      <c r="E281" s="35"/>
      <c r="F281" s="35"/>
      <c r="G281" s="35"/>
      <c r="H281" s="35"/>
      <c r="I281" s="35"/>
      <c r="J281" s="35"/>
      <c r="K281" s="35"/>
      <c r="L281" s="35"/>
      <c r="M281" s="35"/>
      <c r="N281" s="35"/>
      <c r="O281" s="35"/>
      <c r="P281" s="35"/>
      <c r="Q281" s="35"/>
      <c r="R281" s="35"/>
      <c r="S281" s="35"/>
      <c r="T281" s="35"/>
      <c r="U281" s="35"/>
      <c r="AE281" s="65"/>
      <c r="AF281" s="65"/>
      <c r="AG281" s="65"/>
      <c r="AH281" s="65"/>
      <c r="AI281" s="65"/>
      <c r="AJ281" s="65"/>
      <c r="AK281" s="65"/>
      <c r="AL281" s="65"/>
      <c r="AM281" s="65"/>
      <c r="AN281" s="65"/>
      <c r="AO281" s="65"/>
      <c r="AP281" s="65"/>
      <c r="AQ281" s="65"/>
      <c r="AR281" s="65"/>
      <c r="AS281" s="65"/>
      <c r="AT281" s="65"/>
    </row>
    <row r="282" spans="2:46" s="32" customFormat="1" x14ac:dyDescent="0.2">
      <c r="B282" s="44"/>
      <c r="C282" s="44"/>
      <c r="D282" s="35"/>
      <c r="E282" s="35"/>
      <c r="F282" s="35"/>
      <c r="G282" s="35"/>
      <c r="H282" s="35"/>
      <c r="I282" s="35"/>
      <c r="J282" s="35"/>
      <c r="K282" s="35"/>
      <c r="L282" s="35"/>
      <c r="M282" s="35"/>
      <c r="N282" s="35"/>
      <c r="O282" s="35"/>
      <c r="P282" s="35"/>
      <c r="Q282" s="35"/>
      <c r="R282" s="35"/>
      <c r="S282" s="35"/>
      <c r="T282" s="35"/>
      <c r="U282" s="35"/>
      <c r="AE282" s="65"/>
      <c r="AF282" s="65"/>
      <c r="AG282" s="65"/>
      <c r="AH282" s="65"/>
      <c r="AI282" s="65"/>
      <c r="AJ282" s="65"/>
      <c r="AK282" s="65"/>
      <c r="AL282" s="65"/>
      <c r="AM282" s="65"/>
      <c r="AN282" s="65"/>
      <c r="AO282" s="65"/>
      <c r="AP282" s="65"/>
      <c r="AQ282" s="65"/>
      <c r="AR282" s="65"/>
      <c r="AS282" s="65"/>
      <c r="AT282" s="65"/>
    </row>
    <row r="283" spans="2:46" s="32" customFormat="1" x14ac:dyDescent="0.2">
      <c r="B283" s="44"/>
      <c r="C283" s="44"/>
      <c r="D283" s="35"/>
      <c r="E283" s="35"/>
      <c r="F283" s="35"/>
      <c r="G283" s="35"/>
      <c r="H283" s="35"/>
      <c r="I283" s="35"/>
      <c r="J283" s="35"/>
      <c r="K283" s="35"/>
      <c r="L283" s="35"/>
      <c r="M283" s="35"/>
      <c r="N283" s="35"/>
      <c r="O283" s="35"/>
      <c r="P283" s="35"/>
      <c r="Q283" s="35"/>
      <c r="R283" s="35"/>
      <c r="S283" s="35"/>
      <c r="T283" s="35"/>
      <c r="U283" s="35"/>
      <c r="AE283" s="65"/>
      <c r="AF283" s="65"/>
      <c r="AG283" s="65"/>
      <c r="AH283" s="65"/>
      <c r="AI283" s="65"/>
      <c r="AJ283" s="65"/>
      <c r="AK283" s="65"/>
      <c r="AL283" s="65"/>
      <c r="AM283" s="65"/>
      <c r="AN283" s="65"/>
      <c r="AO283" s="65"/>
      <c r="AP283" s="65"/>
      <c r="AQ283" s="65"/>
      <c r="AR283" s="65"/>
      <c r="AS283" s="65"/>
      <c r="AT283" s="65"/>
    </row>
    <row r="284" spans="2:46" s="32" customFormat="1" x14ac:dyDescent="0.2">
      <c r="B284" s="44"/>
      <c r="C284" s="44"/>
      <c r="D284" s="35"/>
      <c r="E284" s="35"/>
      <c r="F284" s="35"/>
      <c r="G284" s="35"/>
      <c r="H284" s="35"/>
      <c r="I284" s="35"/>
      <c r="J284" s="35"/>
      <c r="K284" s="35"/>
      <c r="L284" s="35"/>
      <c r="M284" s="35"/>
      <c r="N284" s="35"/>
      <c r="O284" s="35"/>
      <c r="P284" s="35"/>
      <c r="Q284" s="35"/>
      <c r="R284" s="35"/>
      <c r="S284" s="35"/>
      <c r="T284" s="35"/>
      <c r="U284" s="35"/>
      <c r="AE284" s="65"/>
      <c r="AF284" s="65"/>
      <c r="AG284" s="65"/>
      <c r="AH284" s="65"/>
      <c r="AI284" s="65"/>
      <c r="AJ284" s="65"/>
      <c r="AK284" s="65"/>
      <c r="AL284" s="65"/>
      <c r="AM284" s="65"/>
      <c r="AN284" s="65"/>
      <c r="AO284" s="65"/>
      <c r="AP284" s="65"/>
      <c r="AQ284" s="65"/>
      <c r="AR284" s="65"/>
      <c r="AS284" s="65"/>
      <c r="AT284" s="65"/>
    </row>
    <row r="285" spans="2:46" s="32" customFormat="1" x14ac:dyDescent="0.2">
      <c r="B285" s="44"/>
      <c r="C285" s="44"/>
      <c r="D285" s="35"/>
      <c r="E285" s="35"/>
      <c r="F285" s="35"/>
      <c r="G285" s="35"/>
      <c r="H285" s="35"/>
      <c r="I285" s="35"/>
      <c r="J285" s="35"/>
      <c r="K285" s="35"/>
      <c r="L285" s="35"/>
      <c r="M285" s="35"/>
      <c r="N285" s="35"/>
      <c r="O285" s="35"/>
      <c r="P285" s="35"/>
      <c r="Q285" s="35"/>
      <c r="R285" s="35"/>
      <c r="S285" s="35"/>
      <c r="T285" s="35"/>
      <c r="U285" s="35"/>
      <c r="AE285" s="65"/>
      <c r="AF285" s="65"/>
      <c r="AG285" s="65"/>
      <c r="AH285" s="65"/>
      <c r="AI285" s="65"/>
      <c r="AJ285" s="65"/>
      <c r="AK285" s="65"/>
      <c r="AL285" s="65"/>
      <c r="AM285" s="65"/>
      <c r="AN285" s="65"/>
      <c r="AO285" s="65"/>
      <c r="AP285" s="65"/>
      <c r="AQ285" s="65"/>
      <c r="AR285" s="65"/>
      <c r="AS285" s="65"/>
      <c r="AT285" s="65"/>
    </row>
    <row r="286" spans="2:46" s="32" customFormat="1" x14ac:dyDescent="0.2">
      <c r="B286" s="44"/>
      <c r="C286" s="44"/>
      <c r="D286" s="35"/>
      <c r="E286" s="35"/>
      <c r="F286" s="35"/>
      <c r="G286" s="35"/>
      <c r="H286" s="35"/>
      <c r="I286" s="35"/>
      <c r="J286" s="35"/>
      <c r="K286" s="35"/>
      <c r="L286" s="35"/>
      <c r="M286" s="35"/>
      <c r="N286" s="35"/>
      <c r="O286" s="35"/>
      <c r="P286" s="35"/>
      <c r="Q286" s="35"/>
      <c r="R286" s="35"/>
      <c r="S286" s="35"/>
      <c r="T286" s="35"/>
      <c r="U286" s="35"/>
      <c r="AE286" s="65"/>
      <c r="AF286" s="65"/>
      <c r="AG286" s="65"/>
      <c r="AH286" s="65"/>
      <c r="AI286" s="65"/>
      <c r="AJ286" s="65"/>
      <c r="AK286" s="65"/>
      <c r="AL286" s="65"/>
      <c r="AM286" s="65"/>
      <c r="AN286" s="65"/>
      <c r="AO286" s="65"/>
      <c r="AP286" s="65"/>
      <c r="AQ286" s="65"/>
      <c r="AR286" s="65"/>
      <c r="AS286" s="65"/>
      <c r="AT286" s="65"/>
    </row>
    <row r="287" spans="2:46" s="32" customFormat="1" x14ac:dyDescent="0.2">
      <c r="B287" s="44"/>
      <c r="C287" s="44"/>
      <c r="D287" s="35"/>
      <c r="E287" s="35"/>
      <c r="F287" s="35"/>
      <c r="G287" s="35"/>
      <c r="H287" s="35"/>
      <c r="I287" s="35"/>
      <c r="J287" s="35"/>
      <c r="K287" s="35"/>
      <c r="L287" s="35"/>
      <c r="M287" s="35"/>
      <c r="N287" s="35"/>
      <c r="O287" s="35"/>
      <c r="P287" s="35"/>
      <c r="Q287" s="35"/>
      <c r="R287" s="35"/>
      <c r="S287" s="35"/>
      <c r="T287" s="35"/>
      <c r="U287" s="35"/>
      <c r="AE287" s="65"/>
      <c r="AF287" s="65"/>
      <c r="AG287" s="65"/>
      <c r="AH287" s="65"/>
      <c r="AI287" s="65"/>
      <c r="AJ287" s="65"/>
      <c r="AK287" s="65"/>
      <c r="AL287" s="65"/>
      <c r="AM287" s="65"/>
      <c r="AN287" s="65"/>
      <c r="AO287" s="65"/>
      <c r="AP287" s="65"/>
      <c r="AQ287" s="65"/>
      <c r="AR287" s="65"/>
      <c r="AS287" s="65"/>
      <c r="AT287" s="65"/>
    </row>
    <row r="288" spans="2:46" s="32" customFormat="1" x14ac:dyDescent="0.2">
      <c r="B288" s="44"/>
      <c r="C288" s="44"/>
      <c r="D288" s="35"/>
      <c r="E288" s="35"/>
      <c r="F288" s="35"/>
      <c r="G288" s="35"/>
      <c r="H288" s="35"/>
      <c r="I288" s="35"/>
      <c r="J288" s="35"/>
      <c r="K288" s="35"/>
      <c r="L288" s="35"/>
      <c r="M288" s="35"/>
      <c r="N288" s="35"/>
      <c r="O288" s="35"/>
      <c r="P288" s="35"/>
      <c r="Q288" s="35"/>
      <c r="R288" s="35"/>
      <c r="S288" s="35"/>
      <c r="T288" s="35"/>
      <c r="U288" s="35"/>
      <c r="AE288" s="65"/>
      <c r="AF288" s="65"/>
      <c r="AG288" s="65"/>
      <c r="AH288" s="65"/>
      <c r="AI288" s="65"/>
      <c r="AJ288" s="65"/>
      <c r="AK288" s="65"/>
      <c r="AL288" s="65"/>
      <c r="AM288" s="65"/>
      <c r="AN288" s="65"/>
      <c r="AO288" s="65"/>
      <c r="AP288" s="65"/>
      <c r="AQ288" s="65"/>
      <c r="AR288" s="65"/>
      <c r="AS288" s="65"/>
      <c r="AT288" s="65"/>
    </row>
    <row r="289" spans="2:46" s="32" customFormat="1" x14ac:dyDescent="0.2">
      <c r="B289" s="44"/>
      <c r="C289" s="44"/>
      <c r="D289" s="35"/>
      <c r="E289" s="35"/>
      <c r="F289" s="35"/>
      <c r="G289" s="35"/>
      <c r="H289" s="35"/>
      <c r="I289" s="35"/>
      <c r="J289" s="35"/>
      <c r="K289" s="35"/>
      <c r="L289" s="35"/>
      <c r="M289" s="35"/>
      <c r="N289" s="35"/>
      <c r="O289" s="35"/>
      <c r="P289" s="35"/>
      <c r="Q289" s="35"/>
      <c r="R289" s="35"/>
      <c r="S289" s="35"/>
      <c r="T289" s="35"/>
      <c r="U289" s="35"/>
      <c r="AE289" s="65"/>
      <c r="AF289" s="65"/>
      <c r="AG289" s="65"/>
      <c r="AH289" s="65"/>
      <c r="AI289" s="65"/>
      <c r="AJ289" s="65"/>
      <c r="AK289" s="65"/>
      <c r="AL289" s="65"/>
      <c r="AM289" s="65"/>
      <c r="AN289" s="65"/>
      <c r="AO289" s="65"/>
      <c r="AP289" s="65"/>
      <c r="AQ289" s="65"/>
      <c r="AR289" s="65"/>
      <c r="AS289" s="65"/>
      <c r="AT289" s="65"/>
    </row>
    <row r="290" spans="2:46" s="32" customFormat="1" x14ac:dyDescent="0.2">
      <c r="B290" s="44"/>
      <c r="C290" s="44"/>
      <c r="D290" s="35"/>
      <c r="E290" s="35"/>
      <c r="F290" s="35"/>
      <c r="G290" s="35"/>
      <c r="H290" s="35"/>
      <c r="I290" s="35"/>
      <c r="J290" s="35"/>
      <c r="K290" s="35"/>
      <c r="L290" s="35"/>
      <c r="M290" s="35"/>
      <c r="N290" s="35"/>
      <c r="O290" s="35"/>
      <c r="P290" s="35"/>
      <c r="Q290" s="35"/>
      <c r="R290" s="35"/>
      <c r="S290" s="35"/>
      <c r="T290" s="35"/>
      <c r="U290" s="35"/>
      <c r="AE290" s="65"/>
      <c r="AF290" s="65"/>
      <c r="AG290" s="65"/>
      <c r="AH290" s="65"/>
      <c r="AI290" s="65"/>
      <c r="AJ290" s="65"/>
      <c r="AK290" s="65"/>
      <c r="AL290" s="65"/>
      <c r="AM290" s="65"/>
      <c r="AN290" s="65"/>
      <c r="AO290" s="65"/>
      <c r="AP290" s="65"/>
      <c r="AQ290" s="65"/>
      <c r="AR290" s="65"/>
      <c r="AS290" s="65"/>
      <c r="AT290" s="65"/>
    </row>
    <row r="291" spans="2:46" s="32" customFormat="1" x14ac:dyDescent="0.2">
      <c r="B291" s="44"/>
      <c r="C291" s="44"/>
      <c r="D291" s="35"/>
      <c r="E291" s="35"/>
      <c r="F291" s="35"/>
      <c r="G291" s="35"/>
      <c r="H291" s="35"/>
      <c r="I291" s="35"/>
      <c r="J291" s="35"/>
      <c r="K291" s="35"/>
      <c r="L291" s="35"/>
      <c r="M291" s="35"/>
      <c r="N291" s="35"/>
      <c r="O291" s="35"/>
      <c r="P291" s="35"/>
      <c r="Q291" s="35"/>
      <c r="R291" s="35"/>
      <c r="S291" s="35"/>
      <c r="T291" s="35"/>
      <c r="U291" s="35"/>
      <c r="AE291" s="65"/>
      <c r="AF291" s="65"/>
      <c r="AG291" s="65"/>
      <c r="AH291" s="65"/>
      <c r="AI291" s="65"/>
      <c r="AJ291" s="65"/>
      <c r="AK291" s="65"/>
      <c r="AL291" s="65"/>
      <c r="AM291" s="65"/>
      <c r="AN291" s="65"/>
      <c r="AO291" s="65"/>
      <c r="AP291" s="65"/>
      <c r="AQ291" s="65"/>
      <c r="AR291" s="65"/>
      <c r="AS291" s="65"/>
      <c r="AT291" s="65"/>
    </row>
    <row r="292" spans="2:46" s="32" customFormat="1" x14ac:dyDescent="0.2">
      <c r="B292" s="44"/>
      <c r="C292" s="44"/>
      <c r="D292" s="35"/>
      <c r="E292" s="35"/>
      <c r="F292" s="35"/>
      <c r="G292" s="35"/>
      <c r="H292" s="35"/>
      <c r="I292" s="35"/>
      <c r="J292" s="35"/>
      <c r="K292" s="35"/>
      <c r="L292" s="35"/>
      <c r="M292" s="35"/>
      <c r="N292" s="35"/>
      <c r="O292" s="35"/>
      <c r="P292" s="35"/>
      <c r="Q292" s="35"/>
      <c r="R292" s="35"/>
      <c r="S292" s="35"/>
      <c r="T292" s="35"/>
      <c r="U292" s="35"/>
      <c r="AE292" s="65"/>
      <c r="AF292" s="65"/>
      <c r="AG292" s="65"/>
      <c r="AH292" s="65"/>
      <c r="AI292" s="65"/>
      <c r="AJ292" s="65"/>
      <c r="AK292" s="65"/>
      <c r="AL292" s="65"/>
      <c r="AM292" s="65"/>
      <c r="AN292" s="65"/>
      <c r="AO292" s="65"/>
      <c r="AP292" s="65"/>
      <c r="AQ292" s="65"/>
      <c r="AR292" s="65"/>
      <c r="AS292" s="65"/>
      <c r="AT292" s="65"/>
    </row>
    <row r="293" spans="2:46" s="32" customFormat="1" x14ac:dyDescent="0.2">
      <c r="B293" s="44"/>
      <c r="C293" s="44"/>
      <c r="D293" s="35"/>
      <c r="E293" s="35"/>
      <c r="F293" s="35"/>
      <c r="G293" s="35"/>
      <c r="H293" s="35"/>
      <c r="I293" s="35"/>
      <c r="J293" s="35"/>
      <c r="K293" s="35"/>
      <c r="L293" s="35"/>
      <c r="M293" s="35"/>
      <c r="N293" s="35"/>
      <c r="O293" s="35"/>
      <c r="P293" s="35"/>
      <c r="Q293" s="35"/>
      <c r="R293" s="35"/>
      <c r="S293" s="35"/>
      <c r="T293" s="35"/>
      <c r="U293" s="35"/>
      <c r="AE293" s="65"/>
      <c r="AF293" s="65"/>
      <c r="AG293" s="65"/>
      <c r="AH293" s="65"/>
      <c r="AI293" s="65"/>
      <c r="AJ293" s="65"/>
      <c r="AK293" s="65"/>
      <c r="AL293" s="65"/>
      <c r="AM293" s="65"/>
      <c r="AN293" s="65"/>
      <c r="AO293" s="65"/>
      <c r="AP293" s="65"/>
      <c r="AQ293" s="65"/>
      <c r="AR293" s="65"/>
      <c r="AS293" s="65"/>
      <c r="AT293" s="65"/>
    </row>
    <row r="294" spans="2:46" s="32" customFormat="1" x14ac:dyDescent="0.2">
      <c r="B294" s="44"/>
      <c r="C294" s="44"/>
      <c r="D294" s="35"/>
      <c r="E294" s="35"/>
      <c r="F294" s="35"/>
      <c r="G294" s="35"/>
      <c r="H294" s="35"/>
      <c r="I294" s="35"/>
      <c r="J294" s="35"/>
      <c r="K294" s="35"/>
      <c r="L294" s="35"/>
      <c r="M294" s="35"/>
      <c r="N294" s="35"/>
      <c r="O294" s="35"/>
      <c r="P294" s="35"/>
      <c r="Q294" s="35"/>
      <c r="R294" s="35"/>
      <c r="S294" s="35"/>
      <c r="T294" s="35"/>
      <c r="U294" s="35"/>
      <c r="AE294" s="65"/>
      <c r="AF294" s="65"/>
      <c r="AG294" s="65"/>
      <c r="AH294" s="65"/>
      <c r="AI294" s="65"/>
      <c r="AJ294" s="65"/>
      <c r="AK294" s="65"/>
      <c r="AL294" s="65"/>
      <c r="AM294" s="65"/>
      <c r="AN294" s="65"/>
      <c r="AO294" s="65"/>
      <c r="AP294" s="65"/>
      <c r="AQ294" s="65"/>
      <c r="AR294" s="65"/>
      <c r="AS294" s="65"/>
      <c r="AT294" s="65"/>
    </row>
    <row r="295" spans="2:46" s="32" customFormat="1" x14ac:dyDescent="0.2">
      <c r="B295" s="44"/>
      <c r="C295" s="44"/>
      <c r="D295" s="35"/>
      <c r="E295" s="35"/>
      <c r="F295" s="35"/>
      <c r="G295" s="35"/>
      <c r="H295" s="35"/>
      <c r="I295" s="35"/>
      <c r="J295" s="35"/>
      <c r="K295" s="35"/>
      <c r="L295" s="35"/>
      <c r="M295" s="35"/>
      <c r="N295" s="35"/>
      <c r="O295" s="35"/>
      <c r="P295" s="35"/>
      <c r="Q295" s="35"/>
      <c r="R295" s="35"/>
      <c r="S295" s="35"/>
      <c r="T295" s="35"/>
      <c r="U295" s="35"/>
      <c r="AE295" s="65"/>
      <c r="AF295" s="65"/>
      <c r="AG295" s="65"/>
      <c r="AH295" s="65"/>
      <c r="AI295" s="65"/>
      <c r="AJ295" s="65"/>
      <c r="AK295" s="65"/>
      <c r="AL295" s="65"/>
      <c r="AM295" s="65"/>
      <c r="AN295" s="65"/>
      <c r="AO295" s="65"/>
      <c r="AP295" s="65"/>
      <c r="AQ295" s="65"/>
      <c r="AR295" s="65"/>
      <c r="AS295" s="65"/>
      <c r="AT295" s="65"/>
    </row>
    <row r="296" spans="2:46" s="32" customFormat="1" x14ac:dyDescent="0.2">
      <c r="B296" s="44"/>
      <c r="C296" s="44"/>
      <c r="D296" s="35"/>
      <c r="E296" s="35"/>
      <c r="F296" s="35"/>
      <c r="G296" s="35"/>
      <c r="H296" s="35"/>
      <c r="I296" s="35"/>
      <c r="J296" s="35"/>
      <c r="K296" s="35"/>
      <c r="L296" s="35"/>
      <c r="M296" s="35"/>
      <c r="N296" s="35"/>
      <c r="O296" s="35"/>
      <c r="P296" s="35"/>
      <c r="Q296" s="35"/>
      <c r="R296" s="35"/>
      <c r="S296" s="35"/>
      <c r="T296" s="35"/>
      <c r="U296" s="35"/>
      <c r="AE296" s="65"/>
      <c r="AF296" s="65"/>
      <c r="AG296" s="65"/>
      <c r="AH296" s="65"/>
      <c r="AI296" s="65"/>
      <c r="AJ296" s="65"/>
      <c r="AK296" s="65"/>
      <c r="AL296" s="65"/>
      <c r="AM296" s="65"/>
      <c r="AN296" s="65"/>
      <c r="AO296" s="65"/>
      <c r="AP296" s="65"/>
      <c r="AQ296" s="65"/>
      <c r="AR296" s="65"/>
      <c r="AS296" s="65"/>
      <c r="AT296" s="65"/>
    </row>
    <row r="297" spans="2:46" s="32" customFormat="1" x14ac:dyDescent="0.2">
      <c r="B297" s="44"/>
      <c r="C297" s="44"/>
      <c r="D297" s="35"/>
      <c r="E297" s="35"/>
      <c r="F297" s="35"/>
      <c r="G297" s="35"/>
      <c r="H297" s="35"/>
      <c r="I297" s="35"/>
      <c r="J297" s="35"/>
      <c r="K297" s="35"/>
      <c r="L297" s="35"/>
      <c r="M297" s="35"/>
      <c r="N297" s="35"/>
      <c r="O297" s="35"/>
      <c r="P297" s="35"/>
      <c r="Q297" s="35"/>
      <c r="R297" s="35"/>
      <c r="S297" s="35"/>
      <c r="T297" s="35"/>
      <c r="U297" s="35"/>
      <c r="AE297" s="65"/>
      <c r="AF297" s="65"/>
      <c r="AG297" s="65"/>
      <c r="AH297" s="65"/>
      <c r="AI297" s="65"/>
      <c r="AJ297" s="65"/>
      <c r="AK297" s="65"/>
      <c r="AL297" s="65"/>
      <c r="AM297" s="65"/>
      <c r="AN297" s="65"/>
      <c r="AO297" s="65"/>
      <c r="AP297" s="65"/>
      <c r="AQ297" s="65"/>
      <c r="AR297" s="65"/>
      <c r="AS297" s="65"/>
      <c r="AT297" s="65"/>
    </row>
    <row r="298" spans="2:46" s="32" customFormat="1" x14ac:dyDescent="0.2">
      <c r="B298" s="44"/>
      <c r="C298" s="44"/>
      <c r="D298" s="35"/>
      <c r="E298" s="35"/>
      <c r="F298" s="35"/>
      <c r="G298" s="35"/>
      <c r="H298" s="35"/>
      <c r="I298" s="35"/>
      <c r="J298" s="35"/>
      <c r="K298" s="35"/>
      <c r="L298" s="35"/>
      <c r="M298" s="35"/>
      <c r="N298" s="35"/>
      <c r="O298" s="35"/>
      <c r="P298" s="35"/>
      <c r="Q298" s="35"/>
      <c r="R298" s="35"/>
      <c r="S298" s="35"/>
      <c r="T298" s="35"/>
      <c r="U298" s="35"/>
      <c r="AE298" s="65"/>
      <c r="AF298" s="65"/>
      <c r="AG298" s="65"/>
      <c r="AH298" s="65"/>
      <c r="AI298" s="65"/>
      <c r="AJ298" s="65"/>
      <c r="AK298" s="65"/>
      <c r="AL298" s="65"/>
      <c r="AM298" s="65"/>
      <c r="AN298" s="65"/>
      <c r="AO298" s="65"/>
      <c r="AP298" s="65"/>
      <c r="AQ298" s="65"/>
      <c r="AR298" s="65"/>
      <c r="AS298" s="65"/>
      <c r="AT298" s="65"/>
    </row>
    <row r="299" spans="2:46" s="32" customFormat="1" x14ac:dyDescent="0.2">
      <c r="B299" s="44"/>
      <c r="C299" s="44"/>
      <c r="D299" s="35"/>
      <c r="E299" s="35"/>
      <c r="F299" s="35"/>
      <c r="G299" s="35"/>
      <c r="H299" s="35"/>
      <c r="I299" s="35"/>
      <c r="J299" s="35"/>
      <c r="K299" s="35"/>
      <c r="L299" s="35"/>
      <c r="M299" s="35"/>
      <c r="N299" s="35"/>
      <c r="O299" s="35"/>
      <c r="P299" s="35"/>
      <c r="Q299" s="35"/>
      <c r="R299" s="35"/>
      <c r="S299" s="35"/>
      <c r="T299" s="35"/>
      <c r="U299" s="35"/>
      <c r="AE299" s="65"/>
      <c r="AF299" s="65"/>
      <c r="AG299" s="65"/>
      <c r="AH299" s="65"/>
      <c r="AI299" s="65"/>
      <c r="AJ299" s="65"/>
      <c r="AK299" s="65"/>
      <c r="AL299" s="65"/>
      <c r="AM299" s="65"/>
      <c r="AN299" s="65"/>
      <c r="AO299" s="65"/>
      <c r="AP299" s="65"/>
      <c r="AQ299" s="65"/>
      <c r="AR299" s="65"/>
      <c r="AS299" s="65"/>
      <c r="AT299" s="65"/>
    </row>
    <row r="300" spans="2:46" s="32" customFormat="1" x14ac:dyDescent="0.2">
      <c r="B300" s="44"/>
      <c r="C300" s="44"/>
      <c r="D300" s="35"/>
      <c r="E300" s="35"/>
      <c r="F300" s="35"/>
      <c r="G300" s="35"/>
      <c r="H300" s="35"/>
      <c r="I300" s="35"/>
      <c r="J300" s="35"/>
      <c r="K300" s="35"/>
      <c r="L300" s="35"/>
      <c r="M300" s="35"/>
      <c r="N300" s="35"/>
      <c r="O300" s="35"/>
      <c r="P300" s="35"/>
      <c r="Q300" s="35"/>
      <c r="R300" s="35"/>
      <c r="S300" s="35"/>
      <c r="T300" s="35"/>
      <c r="U300" s="35"/>
      <c r="AE300" s="65"/>
      <c r="AF300" s="65"/>
      <c r="AG300" s="65"/>
      <c r="AH300" s="65"/>
      <c r="AI300" s="65"/>
      <c r="AJ300" s="65"/>
      <c r="AK300" s="65"/>
      <c r="AL300" s="65"/>
      <c r="AM300" s="65"/>
      <c r="AN300" s="65"/>
      <c r="AO300" s="65"/>
      <c r="AP300" s="65"/>
      <c r="AQ300" s="65"/>
      <c r="AR300" s="65"/>
      <c r="AS300" s="65"/>
      <c r="AT300" s="65"/>
    </row>
    <row r="301" spans="2:46" s="32" customFormat="1" x14ac:dyDescent="0.2">
      <c r="B301" s="44"/>
      <c r="C301" s="44"/>
      <c r="D301" s="35"/>
      <c r="E301" s="35"/>
      <c r="F301" s="35"/>
      <c r="G301" s="35"/>
      <c r="H301" s="35"/>
      <c r="I301" s="35"/>
      <c r="J301" s="35"/>
      <c r="K301" s="35"/>
      <c r="L301" s="35"/>
      <c r="M301" s="35"/>
      <c r="N301" s="35"/>
      <c r="O301" s="35"/>
      <c r="P301" s="35"/>
      <c r="Q301" s="35"/>
      <c r="R301" s="35"/>
      <c r="S301" s="35"/>
      <c r="T301" s="35"/>
      <c r="U301" s="35"/>
      <c r="AE301" s="65"/>
      <c r="AF301" s="65"/>
      <c r="AG301" s="65"/>
      <c r="AH301" s="65"/>
      <c r="AI301" s="65"/>
      <c r="AJ301" s="65"/>
      <c r="AK301" s="65"/>
      <c r="AL301" s="65"/>
      <c r="AM301" s="65"/>
      <c r="AN301" s="65"/>
      <c r="AO301" s="65"/>
      <c r="AP301" s="65"/>
      <c r="AQ301" s="65"/>
      <c r="AR301" s="65"/>
      <c r="AS301" s="65"/>
      <c r="AT301" s="65"/>
    </row>
    <row r="302" spans="2:46" s="32" customFormat="1" x14ac:dyDescent="0.2">
      <c r="B302" s="44"/>
      <c r="C302" s="44"/>
      <c r="D302" s="35"/>
      <c r="E302" s="35"/>
      <c r="F302" s="35"/>
      <c r="G302" s="35"/>
      <c r="H302" s="35"/>
      <c r="I302" s="35"/>
      <c r="J302" s="35"/>
      <c r="K302" s="35"/>
      <c r="L302" s="35"/>
      <c r="M302" s="35"/>
      <c r="N302" s="35"/>
      <c r="O302" s="35"/>
      <c r="P302" s="35"/>
      <c r="Q302" s="35"/>
      <c r="R302" s="35"/>
      <c r="S302" s="35"/>
      <c r="T302" s="35"/>
      <c r="U302" s="35"/>
      <c r="AE302" s="65"/>
      <c r="AF302" s="65"/>
      <c r="AG302" s="65"/>
      <c r="AH302" s="65"/>
      <c r="AI302" s="65"/>
      <c r="AJ302" s="65"/>
      <c r="AK302" s="65"/>
      <c r="AL302" s="65"/>
      <c r="AM302" s="65"/>
      <c r="AN302" s="65"/>
      <c r="AO302" s="65"/>
      <c r="AP302" s="65"/>
      <c r="AQ302" s="65"/>
      <c r="AR302" s="65"/>
      <c r="AS302" s="65"/>
      <c r="AT302" s="65"/>
    </row>
    <row r="303" spans="2:46" s="32" customFormat="1" x14ac:dyDescent="0.2">
      <c r="B303" s="44"/>
      <c r="C303" s="44"/>
      <c r="D303" s="35"/>
      <c r="E303" s="35"/>
      <c r="F303" s="35"/>
      <c r="G303" s="35"/>
      <c r="H303" s="35"/>
      <c r="I303" s="35"/>
      <c r="J303" s="35"/>
      <c r="K303" s="35"/>
      <c r="L303" s="35"/>
      <c r="M303" s="35"/>
      <c r="N303" s="35"/>
      <c r="O303" s="35"/>
      <c r="P303" s="35"/>
      <c r="Q303" s="35"/>
      <c r="R303" s="35"/>
      <c r="S303" s="35"/>
      <c r="T303" s="35"/>
      <c r="U303" s="35"/>
      <c r="AE303" s="65"/>
      <c r="AF303" s="65"/>
      <c r="AG303" s="65"/>
      <c r="AH303" s="65"/>
      <c r="AI303" s="65"/>
      <c r="AJ303" s="65"/>
      <c r="AK303" s="65"/>
      <c r="AL303" s="65"/>
      <c r="AM303" s="65"/>
      <c r="AN303" s="65"/>
      <c r="AO303" s="65"/>
      <c r="AP303" s="65"/>
      <c r="AQ303" s="65"/>
      <c r="AR303" s="65"/>
      <c r="AS303" s="65"/>
      <c r="AT303" s="65"/>
    </row>
    <row r="304" spans="2:46" s="32" customFormat="1" x14ac:dyDescent="0.2">
      <c r="B304" s="44"/>
      <c r="C304" s="44"/>
      <c r="D304" s="35"/>
      <c r="E304" s="35"/>
      <c r="F304" s="35"/>
      <c r="G304" s="35"/>
      <c r="H304" s="35"/>
      <c r="I304" s="35"/>
      <c r="J304" s="35"/>
      <c r="K304" s="35"/>
      <c r="L304" s="35"/>
      <c r="M304" s="35"/>
      <c r="N304" s="35"/>
      <c r="O304" s="35"/>
      <c r="P304" s="35"/>
      <c r="Q304" s="35"/>
      <c r="R304" s="35"/>
      <c r="S304" s="35"/>
      <c r="T304" s="35"/>
      <c r="U304" s="35"/>
      <c r="AE304" s="65"/>
      <c r="AF304" s="65"/>
      <c r="AG304" s="65"/>
      <c r="AH304" s="65"/>
      <c r="AI304" s="65"/>
      <c r="AJ304" s="65"/>
      <c r="AK304" s="65"/>
      <c r="AL304" s="65"/>
      <c r="AM304" s="65"/>
      <c r="AN304" s="65"/>
      <c r="AO304" s="65"/>
      <c r="AP304" s="65"/>
      <c r="AQ304" s="65"/>
      <c r="AR304" s="65"/>
      <c r="AS304" s="65"/>
      <c r="AT304" s="65"/>
    </row>
    <row r="305" spans="2:46" s="32" customFormat="1" x14ac:dyDescent="0.2">
      <c r="B305" s="44"/>
      <c r="C305" s="44"/>
      <c r="D305" s="35"/>
      <c r="E305" s="35"/>
      <c r="F305" s="35"/>
      <c r="G305" s="35"/>
      <c r="H305" s="35"/>
      <c r="I305" s="35"/>
      <c r="J305" s="35"/>
      <c r="K305" s="35"/>
      <c r="L305" s="35"/>
      <c r="M305" s="35"/>
      <c r="N305" s="35"/>
      <c r="O305" s="35"/>
      <c r="P305" s="35"/>
      <c r="Q305" s="35"/>
      <c r="R305" s="35"/>
      <c r="S305" s="35"/>
      <c r="T305" s="35"/>
      <c r="U305" s="35"/>
      <c r="AE305" s="65"/>
      <c r="AF305" s="65"/>
      <c r="AG305" s="65"/>
      <c r="AH305" s="65"/>
      <c r="AI305" s="65"/>
      <c r="AJ305" s="65"/>
      <c r="AK305" s="65"/>
      <c r="AL305" s="65"/>
      <c r="AM305" s="65"/>
      <c r="AN305" s="65"/>
      <c r="AO305" s="65"/>
      <c r="AP305" s="65"/>
      <c r="AQ305" s="65"/>
      <c r="AR305" s="65"/>
      <c r="AS305" s="65"/>
      <c r="AT305" s="65"/>
    </row>
    <row r="306" spans="2:46" s="32" customFormat="1" x14ac:dyDescent="0.2">
      <c r="B306" s="44"/>
      <c r="C306" s="44"/>
      <c r="D306" s="35"/>
      <c r="E306" s="35"/>
      <c r="F306" s="35"/>
      <c r="G306" s="35"/>
      <c r="H306" s="35"/>
      <c r="I306" s="35"/>
      <c r="J306" s="35"/>
      <c r="K306" s="35"/>
      <c r="L306" s="35"/>
      <c r="M306" s="35"/>
      <c r="N306" s="35"/>
      <c r="O306" s="35"/>
      <c r="P306" s="35"/>
      <c r="Q306" s="35"/>
      <c r="R306" s="35"/>
      <c r="S306" s="35"/>
      <c r="T306" s="35"/>
      <c r="U306" s="35"/>
      <c r="AE306" s="65"/>
      <c r="AF306" s="65"/>
      <c r="AG306" s="65"/>
      <c r="AH306" s="65"/>
      <c r="AI306" s="65"/>
      <c r="AJ306" s="65"/>
      <c r="AK306" s="65"/>
      <c r="AL306" s="65"/>
      <c r="AM306" s="65"/>
      <c r="AN306" s="65"/>
      <c r="AO306" s="65"/>
      <c r="AP306" s="65"/>
      <c r="AQ306" s="65"/>
      <c r="AR306" s="65"/>
      <c r="AS306" s="65"/>
      <c r="AT306" s="65"/>
    </row>
    <row r="307" spans="2:46" s="32" customFormat="1" x14ac:dyDescent="0.2">
      <c r="B307" s="44"/>
      <c r="C307" s="44"/>
      <c r="D307" s="35"/>
      <c r="E307" s="35"/>
      <c r="F307" s="35"/>
      <c r="G307" s="35"/>
      <c r="H307" s="35"/>
      <c r="I307" s="35"/>
      <c r="J307" s="35"/>
      <c r="K307" s="35"/>
      <c r="L307" s="35"/>
      <c r="M307" s="35"/>
      <c r="N307" s="35"/>
      <c r="O307" s="35"/>
      <c r="P307" s="35"/>
      <c r="Q307" s="35"/>
      <c r="R307" s="35"/>
      <c r="S307" s="35"/>
      <c r="T307" s="35"/>
      <c r="U307" s="35"/>
      <c r="AE307" s="65"/>
      <c r="AF307" s="65"/>
      <c r="AG307" s="65"/>
      <c r="AH307" s="65"/>
      <c r="AI307" s="65"/>
      <c r="AJ307" s="65"/>
      <c r="AK307" s="65"/>
      <c r="AL307" s="65"/>
      <c r="AM307" s="65"/>
      <c r="AN307" s="65"/>
      <c r="AO307" s="65"/>
      <c r="AP307" s="65"/>
      <c r="AQ307" s="65"/>
      <c r="AR307" s="65"/>
      <c r="AS307" s="65"/>
      <c r="AT307" s="65"/>
    </row>
    <row r="308" spans="2:46" s="32" customFormat="1" x14ac:dyDescent="0.2">
      <c r="B308" s="44"/>
      <c r="C308" s="44"/>
      <c r="D308" s="35"/>
      <c r="E308" s="35"/>
      <c r="F308" s="35"/>
      <c r="G308" s="35"/>
      <c r="H308" s="35"/>
      <c r="I308" s="35"/>
      <c r="J308" s="35"/>
      <c r="K308" s="35"/>
      <c r="L308" s="35"/>
      <c r="M308" s="35"/>
      <c r="N308" s="35"/>
      <c r="O308" s="35"/>
      <c r="P308" s="35"/>
      <c r="Q308" s="35"/>
      <c r="R308" s="35"/>
      <c r="S308" s="35"/>
      <c r="T308" s="35"/>
      <c r="U308" s="35"/>
      <c r="AE308" s="65"/>
      <c r="AF308" s="65"/>
      <c r="AG308" s="65"/>
      <c r="AH308" s="65"/>
      <c r="AI308" s="65"/>
      <c r="AJ308" s="65"/>
      <c r="AK308" s="65"/>
      <c r="AL308" s="65"/>
      <c r="AM308" s="65"/>
      <c r="AN308" s="65"/>
      <c r="AO308" s="65"/>
      <c r="AP308" s="65"/>
      <c r="AQ308" s="65"/>
      <c r="AR308" s="65"/>
      <c r="AS308" s="65"/>
      <c r="AT308" s="65"/>
    </row>
    <row r="309" spans="2:46" s="32" customFormat="1" x14ac:dyDescent="0.2">
      <c r="B309" s="44"/>
      <c r="C309" s="44"/>
      <c r="D309" s="35"/>
      <c r="E309" s="35"/>
      <c r="F309" s="35"/>
      <c r="G309" s="35"/>
      <c r="H309" s="35"/>
      <c r="I309" s="35"/>
      <c r="J309" s="35"/>
      <c r="K309" s="35"/>
      <c r="L309" s="35"/>
      <c r="M309" s="35"/>
      <c r="N309" s="35"/>
      <c r="O309" s="35"/>
      <c r="P309" s="35"/>
      <c r="Q309" s="35"/>
      <c r="R309" s="35"/>
      <c r="S309" s="35"/>
      <c r="T309" s="35"/>
      <c r="U309" s="35"/>
      <c r="AE309" s="65"/>
      <c r="AF309" s="65"/>
      <c r="AG309" s="65"/>
      <c r="AH309" s="65"/>
      <c r="AI309" s="65"/>
      <c r="AJ309" s="65"/>
      <c r="AK309" s="65"/>
      <c r="AL309" s="65"/>
      <c r="AM309" s="65"/>
      <c r="AN309" s="65"/>
      <c r="AO309" s="65"/>
      <c r="AP309" s="65"/>
      <c r="AQ309" s="65"/>
      <c r="AR309" s="65"/>
      <c r="AS309" s="65"/>
      <c r="AT309" s="65"/>
    </row>
    <row r="310" spans="2:46" s="32" customFormat="1" x14ac:dyDescent="0.2">
      <c r="B310" s="44"/>
      <c r="C310" s="44"/>
      <c r="D310" s="35"/>
      <c r="E310" s="35"/>
      <c r="F310" s="35"/>
      <c r="G310" s="35"/>
      <c r="H310" s="35"/>
      <c r="I310" s="35"/>
      <c r="J310" s="35"/>
      <c r="K310" s="35"/>
      <c r="L310" s="35"/>
      <c r="M310" s="35"/>
      <c r="N310" s="35"/>
      <c r="O310" s="35"/>
      <c r="P310" s="35"/>
      <c r="Q310" s="35"/>
      <c r="R310" s="35"/>
      <c r="S310" s="35"/>
      <c r="T310" s="35"/>
      <c r="U310" s="35"/>
      <c r="AE310" s="65"/>
      <c r="AF310" s="65"/>
      <c r="AG310" s="65"/>
      <c r="AH310" s="65"/>
      <c r="AI310" s="65"/>
      <c r="AJ310" s="65"/>
      <c r="AK310" s="65"/>
      <c r="AL310" s="65"/>
      <c r="AM310" s="65"/>
      <c r="AN310" s="65"/>
      <c r="AO310" s="65"/>
      <c r="AP310" s="65"/>
      <c r="AQ310" s="65"/>
      <c r="AR310" s="65"/>
      <c r="AS310" s="65"/>
      <c r="AT310" s="65"/>
    </row>
    <row r="311" spans="2:46" s="32" customFormat="1" x14ac:dyDescent="0.2">
      <c r="B311" s="44"/>
      <c r="C311" s="44"/>
      <c r="D311" s="35"/>
      <c r="E311" s="35"/>
      <c r="F311" s="35"/>
      <c r="G311" s="35"/>
      <c r="H311" s="35"/>
      <c r="I311" s="35"/>
      <c r="J311" s="35"/>
      <c r="K311" s="35"/>
      <c r="L311" s="35"/>
      <c r="M311" s="35"/>
      <c r="N311" s="35"/>
      <c r="O311" s="35"/>
      <c r="P311" s="35"/>
      <c r="Q311" s="35"/>
      <c r="R311" s="35"/>
      <c r="S311" s="35"/>
      <c r="T311" s="35"/>
      <c r="U311" s="35"/>
      <c r="AE311" s="65"/>
      <c r="AF311" s="65"/>
      <c r="AG311" s="65"/>
      <c r="AH311" s="65"/>
      <c r="AI311" s="65"/>
      <c r="AJ311" s="65"/>
      <c r="AK311" s="65"/>
      <c r="AL311" s="65"/>
      <c r="AM311" s="65"/>
      <c r="AN311" s="65"/>
      <c r="AO311" s="65"/>
      <c r="AP311" s="65"/>
      <c r="AQ311" s="65"/>
      <c r="AR311" s="65"/>
      <c r="AS311" s="65"/>
      <c r="AT311" s="65"/>
    </row>
    <row r="312" spans="2:46" s="32" customFormat="1" x14ac:dyDescent="0.2">
      <c r="B312" s="44"/>
      <c r="C312" s="44"/>
      <c r="D312" s="35"/>
      <c r="E312" s="35"/>
      <c r="F312" s="35"/>
      <c r="G312" s="35"/>
      <c r="H312" s="35"/>
      <c r="I312" s="35"/>
      <c r="J312" s="35"/>
      <c r="K312" s="35"/>
      <c r="L312" s="35"/>
      <c r="M312" s="35"/>
      <c r="N312" s="35"/>
      <c r="O312" s="35"/>
      <c r="P312" s="35"/>
      <c r="Q312" s="35"/>
      <c r="R312" s="35"/>
      <c r="S312" s="35"/>
      <c r="T312" s="35"/>
      <c r="U312" s="35"/>
      <c r="AE312" s="65"/>
      <c r="AF312" s="65"/>
      <c r="AG312" s="65"/>
      <c r="AH312" s="65"/>
      <c r="AI312" s="65"/>
      <c r="AJ312" s="65"/>
      <c r="AK312" s="65"/>
      <c r="AL312" s="65"/>
      <c r="AM312" s="65"/>
      <c r="AN312" s="65"/>
      <c r="AO312" s="65"/>
      <c r="AP312" s="65"/>
      <c r="AQ312" s="65"/>
      <c r="AR312" s="65"/>
      <c r="AS312" s="65"/>
      <c r="AT312" s="65"/>
    </row>
    <row r="313" spans="2:46" s="32" customFormat="1" x14ac:dyDescent="0.2">
      <c r="B313" s="44"/>
      <c r="C313" s="44"/>
      <c r="D313" s="35"/>
      <c r="E313" s="35"/>
      <c r="F313" s="35"/>
      <c r="G313" s="35"/>
      <c r="H313" s="35"/>
      <c r="I313" s="35"/>
      <c r="J313" s="35"/>
      <c r="K313" s="35"/>
      <c r="L313" s="35"/>
      <c r="M313" s="35"/>
      <c r="N313" s="35"/>
      <c r="O313" s="35"/>
      <c r="P313" s="35"/>
      <c r="Q313" s="35"/>
      <c r="R313" s="35"/>
      <c r="S313" s="35"/>
      <c r="T313" s="35"/>
      <c r="U313" s="35"/>
      <c r="AE313" s="65"/>
      <c r="AF313" s="65"/>
      <c r="AG313" s="65"/>
      <c r="AH313" s="65"/>
      <c r="AI313" s="65"/>
      <c r="AJ313" s="65"/>
      <c r="AK313" s="65"/>
      <c r="AL313" s="65"/>
      <c r="AM313" s="65"/>
      <c r="AN313" s="65"/>
      <c r="AO313" s="65"/>
      <c r="AP313" s="65"/>
      <c r="AQ313" s="65"/>
      <c r="AR313" s="65"/>
      <c r="AS313" s="65"/>
      <c r="AT313" s="65"/>
    </row>
    <row r="314" spans="2:46" s="32" customFormat="1" x14ac:dyDescent="0.2">
      <c r="B314" s="44"/>
      <c r="C314" s="44"/>
      <c r="D314" s="35"/>
      <c r="E314" s="35"/>
      <c r="F314" s="35"/>
      <c r="G314" s="35"/>
      <c r="H314" s="35"/>
      <c r="I314" s="35"/>
      <c r="J314" s="35"/>
      <c r="K314" s="35"/>
      <c r="L314" s="35"/>
      <c r="M314" s="35"/>
      <c r="N314" s="35"/>
      <c r="O314" s="35"/>
      <c r="P314" s="35"/>
      <c r="Q314" s="35"/>
      <c r="R314" s="35"/>
      <c r="S314" s="35"/>
      <c r="T314" s="35"/>
      <c r="U314" s="35"/>
      <c r="AE314" s="65"/>
      <c r="AF314" s="65"/>
      <c r="AG314" s="65"/>
      <c r="AH314" s="65"/>
      <c r="AI314" s="65"/>
      <c r="AJ314" s="65"/>
      <c r="AK314" s="65"/>
      <c r="AL314" s="65"/>
      <c r="AM314" s="65"/>
      <c r="AN314" s="65"/>
      <c r="AO314" s="65"/>
      <c r="AP314" s="65"/>
      <c r="AQ314" s="65"/>
      <c r="AR314" s="65"/>
      <c r="AS314" s="65"/>
      <c r="AT314" s="65"/>
    </row>
    <row r="315" spans="2:46" s="32" customFormat="1" x14ac:dyDescent="0.2">
      <c r="B315" s="44"/>
      <c r="C315" s="44"/>
      <c r="D315" s="35"/>
      <c r="E315" s="35"/>
      <c r="F315" s="35"/>
      <c r="G315" s="35"/>
      <c r="H315" s="35"/>
      <c r="I315" s="35"/>
      <c r="J315" s="35"/>
      <c r="K315" s="35"/>
      <c r="L315" s="35"/>
      <c r="M315" s="35"/>
      <c r="N315" s="35"/>
      <c r="O315" s="35"/>
      <c r="P315" s="35"/>
      <c r="Q315" s="35"/>
      <c r="R315" s="35"/>
      <c r="S315" s="35"/>
      <c r="T315" s="35"/>
      <c r="U315" s="35"/>
      <c r="AE315" s="65"/>
      <c r="AF315" s="65"/>
      <c r="AG315" s="65"/>
      <c r="AH315" s="65"/>
      <c r="AI315" s="65"/>
      <c r="AJ315" s="65"/>
      <c r="AK315" s="65"/>
      <c r="AL315" s="65"/>
      <c r="AM315" s="65"/>
      <c r="AN315" s="65"/>
      <c r="AO315" s="65"/>
      <c r="AP315" s="65"/>
      <c r="AQ315" s="65"/>
      <c r="AR315" s="65"/>
      <c r="AS315" s="65"/>
      <c r="AT315" s="65"/>
    </row>
    <row r="316" spans="2:46" s="32" customFormat="1" x14ac:dyDescent="0.2">
      <c r="B316" s="44"/>
      <c r="C316" s="44"/>
      <c r="D316" s="35"/>
      <c r="E316" s="35"/>
      <c r="F316" s="35"/>
      <c r="G316" s="35"/>
      <c r="H316" s="35"/>
      <c r="I316" s="35"/>
      <c r="J316" s="35"/>
      <c r="K316" s="35"/>
      <c r="L316" s="35"/>
      <c r="M316" s="35"/>
      <c r="N316" s="35"/>
      <c r="O316" s="35"/>
      <c r="P316" s="35"/>
      <c r="Q316" s="35"/>
      <c r="R316" s="35"/>
      <c r="S316" s="35"/>
      <c r="T316" s="35"/>
      <c r="U316" s="35"/>
      <c r="AE316" s="65"/>
      <c r="AF316" s="65"/>
      <c r="AG316" s="65"/>
      <c r="AH316" s="65"/>
      <c r="AI316" s="65"/>
      <c r="AJ316" s="65"/>
      <c r="AK316" s="65"/>
      <c r="AL316" s="65"/>
      <c r="AM316" s="65"/>
      <c r="AN316" s="65"/>
      <c r="AO316" s="65"/>
      <c r="AP316" s="65"/>
      <c r="AQ316" s="65"/>
      <c r="AR316" s="65"/>
      <c r="AS316" s="65"/>
      <c r="AT316" s="65"/>
    </row>
    <row r="317" spans="2:46" s="32" customFormat="1" x14ac:dyDescent="0.2">
      <c r="B317" s="44"/>
      <c r="C317" s="44"/>
      <c r="D317" s="35"/>
      <c r="E317" s="35"/>
      <c r="F317" s="35"/>
      <c r="G317" s="35"/>
      <c r="H317" s="35"/>
      <c r="I317" s="35"/>
      <c r="J317" s="35"/>
      <c r="K317" s="35"/>
      <c r="L317" s="35"/>
      <c r="M317" s="35"/>
      <c r="N317" s="35"/>
      <c r="O317" s="35"/>
      <c r="P317" s="35"/>
      <c r="Q317" s="35"/>
      <c r="R317" s="35"/>
      <c r="S317" s="35"/>
      <c r="T317" s="35"/>
      <c r="U317" s="35"/>
      <c r="AE317" s="65"/>
      <c r="AF317" s="65"/>
      <c r="AG317" s="65"/>
      <c r="AH317" s="65"/>
      <c r="AI317" s="65"/>
      <c r="AJ317" s="65"/>
      <c r="AK317" s="65"/>
      <c r="AL317" s="65"/>
      <c r="AM317" s="65"/>
      <c r="AN317" s="65"/>
      <c r="AO317" s="65"/>
      <c r="AP317" s="65"/>
      <c r="AQ317" s="65"/>
      <c r="AR317" s="65"/>
      <c r="AS317" s="65"/>
      <c r="AT317" s="65"/>
    </row>
    <row r="318" spans="2:46" s="32" customFormat="1" x14ac:dyDescent="0.2">
      <c r="B318" s="44"/>
      <c r="C318" s="44"/>
      <c r="D318" s="35"/>
      <c r="E318" s="35"/>
      <c r="F318" s="35"/>
      <c r="G318" s="35"/>
      <c r="H318" s="35"/>
      <c r="I318" s="35"/>
      <c r="J318" s="35"/>
      <c r="K318" s="35"/>
      <c r="L318" s="35"/>
      <c r="M318" s="35"/>
      <c r="N318" s="35"/>
      <c r="O318" s="35"/>
      <c r="P318" s="35"/>
      <c r="Q318" s="35"/>
      <c r="R318" s="35"/>
      <c r="S318" s="35"/>
      <c r="T318" s="35"/>
      <c r="U318" s="35"/>
      <c r="AE318" s="65"/>
      <c r="AF318" s="65"/>
      <c r="AG318" s="65"/>
      <c r="AH318" s="65"/>
      <c r="AI318" s="65"/>
      <c r="AJ318" s="65"/>
      <c r="AK318" s="65"/>
      <c r="AL318" s="65"/>
      <c r="AM318" s="65"/>
      <c r="AN318" s="65"/>
      <c r="AO318" s="65"/>
      <c r="AP318" s="65"/>
      <c r="AQ318" s="65"/>
      <c r="AR318" s="65"/>
      <c r="AS318" s="65"/>
      <c r="AT318" s="65"/>
    </row>
    <row r="319" spans="2:46" s="32" customFormat="1" x14ac:dyDescent="0.2">
      <c r="B319" s="44"/>
      <c r="C319" s="44"/>
      <c r="D319" s="35"/>
      <c r="E319" s="35"/>
      <c r="F319" s="35"/>
      <c r="G319" s="35"/>
      <c r="H319" s="35"/>
      <c r="I319" s="35"/>
      <c r="J319" s="35"/>
      <c r="K319" s="35"/>
      <c r="L319" s="35"/>
      <c r="M319" s="35"/>
      <c r="N319" s="35"/>
      <c r="O319" s="35"/>
      <c r="P319" s="35"/>
      <c r="Q319" s="35"/>
      <c r="R319" s="35"/>
      <c r="S319" s="35"/>
      <c r="T319" s="35"/>
      <c r="U319" s="35"/>
      <c r="AE319" s="65"/>
      <c r="AF319" s="65"/>
      <c r="AG319" s="65"/>
      <c r="AH319" s="65"/>
      <c r="AI319" s="65"/>
      <c r="AJ319" s="65"/>
      <c r="AK319" s="65"/>
      <c r="AL319" s="65"/>
      <c r="AM319" s="65"/>
      <c r="AN319" s="65"/>
      <c r="AO319" s="65"/>
      <c r="AP319" s="65"/>
      <c r="AQ319" s="65"/>
      <c r="AR319" s="65"/>
      <c r="AS319" s="65"/>
      <c r="AT319" s="65"/>
    </row>
    <row r="320" spans="2:46" s="32" customFormat="1" x14ac:dyDescent="0.2">
      <c r="B320" s="44"/>
      <c r="C320" s="44"/>
      <c r="D320" s="35"/>
      <c r="E320" s="35"/>
      <c r="F320" s="35"/>
      <c r="G320" s="35"/>
      <c r="H320" s="35"/>
      <c r="I320" s="35"/>
      <c r="J320" s="35"/>
      <c r="K320" s="35"/>
      <c r="L320" s="35"/>
      <c r="M320" s="35"/>
      <c r="N320" s="35"/>
      <c r="O320" s="35"/>
      <c r="P320" s="35"/>
      <c r="Q320" s="35"/>
      <c r="R320" s="35"/>
      <c r="S320" s="35"/>
      <c r="T320" s="35"/>
      <c r="U320" s="35"/>
      <c r="AE320" s="65"/>
      <c r="AF320" s="65"/>
      <c r="AG320" s="65"/>
      <c r="AH320" s="65"/>
      <c r="AI320" s="65"/>
      <c r="AJ320" s="65"/>
      <c r="AK320" s="65"/>
      <c r="AL320" s="65"/>
      <c r="AM320" s="65"/>
      <c r="AN320" s="65"/>
      <c r="AO320" s="65"/>
      <c r="AP320" s="65"/>
      <c r="AQ320" s="65"/>
      <c r="AR320" s="65"/>
      <c r="AS320" s="65"/>
      <c r="AT320" s="65"/>
    </row>
    <row r="321" spans="2:46" s="32" customFormat="1" x14ac:dyDescent="0.2">
      <c r="B321" s="44"/>
      <c r="C321" s="44"/>
      <c r="D321" s="35"/>
      <c r="E321" s="35"/>
      <c r="F321" s="35"/>
      <c r="G321" s="35"/>
      <c r="H321" s="35"/>
      <c r="I321" s="35"/>
      <c r="J321" s="35"/>
      <c r="K321" s="35"/>
      <c r="L321" s="35"/>
      <c r="M321" s="35"/>
      <c r="N321" s="35"/>
      <c r="O321" s="35"/>
      <c r="P321" s="35"/>
      <c r="Q321" s="35"/>
      <c r="R321" s="35"/>
      <c r="S321" s="35"/>
      <c r="T321" s="35"/>
      <c r="U321" s="35"/>
      <c r="AE321" s="65"/>
      <c r="AF321" s="65"/>
      <c r="AG321" s="65"/>
      <c r="AH321" s="65"/>
      <c r="AI321" s="65"/>
      <c r="AJ321" s="65"/>
      <c r="AK321" s="65"/>
      <c r="AL321" s="65"/>
      <c r="AM321" s="65"/>
      <c r="AN321" s="65"/>
      <c r="AO321" s="65"/>
      <c r="AP321" s="65"/>
      <c r="AQ321" s="65"/>
      <c r="AR321" s="65"/>
      <c r="AS321" s="65"/>
      <c r="AT321" s="65"/>
    </row>
    <row r="322" spans="2:46" s="32" customFormat="1" x14ac:dyDescent="0.2">
      <c r="B322" s="44"/>
      <c r="C322" s="44"/>
      <c r="D322" s="35"/>
      <c r="E322" s="35"/>
      <c r="F322" s="35"/>
      <c r="G322" s="35"/>
      <c r="H322" s="35"/>
      <c r="I322" s="35"/>
      <c r="J322" s="35"/>
      <c r="K322" s="35"/>
      <c r="L322" s="35"/>
      <c r="M322" s="35"/>
      <c r="N322" s="35"/>
      <c r="O322" s="35"/>
      <c r="P322" s="35"/>
      <c r="Q322" s="35"/>
      <c r="R322" s="35"/>
      <c r="S322" s="35"/>
      <c r="T322" s="35"/>
      <c r="U322" s="35"/>
      <c r="AE322" s="65"/>
      <c r="AF322" s="65"/>
      <c r="AG322" s="65"/>
      <c r="AH322" s="65"/>
      <c r="AI322" s="65"/>
      <c r="AJ322" s="65"/>
      <c r="AK322" s="65"/>
      <c r="AL322" s="65"/>
      <c r="AM322" s="65"/>
      <c r="AN322" s="65"/>
      <c r="AO322" s="65"/>
      <c r="AP322" s="65"/>
      <c r="AQ322" s="65"/>
      <c r="AR322" s="65"/>
      <c r="AS322" s="65"/>
      <c r="AT322" s="65"/>
    </row>
    <row r="323" spans="2:46" s="32" customFormat="1" x14ac:dyDescent="0.2">
      <c r="B323" s="44"/>
      <c r="C323" s="44"/>
      <c r="D323" s="35"/>
      <c r="E323" s="35"/>
      <c r="F323" s="35"/>
      <c r="G323" s="35"/>
      <c r="H323" s="35"/>
      <c r="I323" s="35"/>
      <c r="J323" s="35"/>
      <c r="K323" s="35"/>
      <c r="L323" s="35"/>
      <c r="M323" s="35"/>
      <c r="N323" s="35"/>
      <c r="O323" s="35"/>
      <c r="P323" s="35"/>
      <c r="Q323" s="35"/>
      <c r="R323" s="35"/>
      <c r="S323" s="35"/>
      <c r="T323" s="35"/>
      <c r="U323" s="35"/>
      <c r="AE323" s="65"/>
      <c r="AF323" s="65"/>
      <c r="AG323" s="65"/>
      <c r="AH323" s="65"/>
      <c r="AI323" s="65"/>
      <c r="AJ323" s="65"/>
      <c r="AK323" s="65"/>
      <c r="AL323" s="65"/>
      <c r="AM323" s="65"/>
      <c r="AN323" s="65"/>
      <c r="AO323" s="65"/>
      <c r="AP323" s="65"/>
      <c r="AQ323" s="65"/>
      <c r="AR323" s="65"/>
      <c r="AS323" s="65"/>
      <c r="AT323" s="65"/>
    </row>
    <row r="324" spans="2:46" s="32" customFormat="1" x14ac:dyDescent="0.2">
      <c r="B324" s="44"/>
      <c r="C324" s="44"/>
      <c r="D324" s="35"/>
      <c r="E324" s="35"/>
      <c r="F324" s="35"/>
      <c r="G324" s="35"/>
      <c r="H324" s="35"/>
      <c r="I324" s="35"/>
      <c r="J324" s="35"/>
      <c r="K324" s="35"/>
      <c r="L324" s="35"/>
      <c r="M324" s="35"/>
      <c r="N324" s="35"/>
      <c r="O324" s="35"/>
      <c r="P324" s="35"/>
      <c r="Q324" s="35"/>
      <c r="R324" s="35"/>
      <c r="S324" s="35"/>
      <c r="T324" s="35"/>
      <c r="U324" s="35"/>
      <c r="AE324" s="65"/>
      <c r="AF324" s="65"/>
      <c r="AG324" s="65"/>
      <c r="AH324" s="65"/>
      <c r="AI324" s="65"/>
      <c r="AJ324" s="65"/>
      <c r="AK324" s="65"/>
      <c r="AL324" s="65"/>
      <c r="AM324" s="65"/>
      <c r="AN324" s="65"/>
      <c r="AO324" s="65"/>
      <c r="AP324" s="65"/>
      <c r="AQ324" s="65"/>
      <c r="AR324" s="65"/>
      <c r="AS324" s="65"/>
      <c r="AT324" s="65"/>
    </row>
    <row r="325" spans="2:46" s="32" customFormat="1" x14ac:dyDescent="0.2">
      <c r="B325" s="44"/>
      <c r="C325" s="44"/>
      <c r="D325" s="35"/>
      <c r="E325" s="35"/>
      <c r="F325" s="35"/>
      <c r="G325" s="35"/>
      <c r="H325" s="35"/>
      <c r="I325" s="35"/>
      <c r="J325" s="35"/>
      <c r="K325" s="35"/>
      <c r="L325" s="35"/>
      <c r="M325" s="35"/>
      <c r="N325" s="35"/>
      <c r="O325" s="35"/>
      <c r="P325" s="35"/>
      <c r="Q325" s="35"/>
      <c r="R325" s="35"/>
      <c r="S325" s="35"/>
      <c r="T325" s="35"/>
      <c r="U325" s="35"/>
      <c r="AE325" s="65"/>
      <c r="AF325" s="65"/>
      <c r="AG325" s="65"/>
      <c r="AH325" s="65"/>
      <c r="AI325" s="65"/>
      <c r="AJ325" s="65"/>
      <c r="AK325" s="65"/>
      <c r="AL325" s="65"/>
      <c r="AM325" s="65"/>
      <c r="AN325" s="65"/>
      <c r="AO325" s="65"/>
      <c r="AP325" s="65"/>
      <c r="AQ325" s="65"/>
      <c r="AR325" s="65"/>
      <c r="AS325" s="65"/>
      <c r="AT325" s="65"/>
    </row>
    <row r="326" spans="2:46" s="32" customFormat="1" x14ac:dyDescent="0.2">
      <c r="B326" s="44"/>
      <c r="C326" s="44"/>
      <c r="D326" s="35"/>
      <c r="E326" s="35"/>
      <c r="F326" s="35"/>
      <c r="G326" s="35"/>
      <c r="H326" s="35"/>
      <c r="I326" s="35"/>
      <c r="J326" s="35"/>
      <c r="K326" s="35"/>
      <c r="L326" s="35"/>
      <c r="M326" s="35"/>
      <c r="N326" s="35"/>
      <c r="O326" s="35"/>
      <c r="P326" s="35"/>
      <c r="Q326" s="35"/>
      <c r="R326" s="35"/>
      <c r="S326" s="35"/>
      <c r="T326" s="35"/>
      <c r="U326" s="35"/>
      <c r="AE326" s="65"/>
      <c r="AF326" s="65"/>
      <c r="AG326" s="65"/>
      <c r="AH326" s="65"/>
      <c r="AI326" s="65"/>
      <c r="AJ326" s="65"/>
      <c r="AK326" s="65"/>
      <c r="AL326" s="65"/>
      <c r="AM326" s="65"/>
      <c r="AN326" s="65"/>
      <c r="AO326" s="65"/>
      <c r="AP326" s="65"/>
      <c r="AQ326" s="65"/>
      <c r="AR326" s="65"/>
      <c r="AS326" s="65"/>
      <c r="AT326" s="65"/>
    </row>
    <row r="327" spans="2:46" s="32" customFormat="1" x14ac:dyDescent="0.2">
      <c r="B327" s="44"/>
      <c r="C327" s="44"/>
      <c r="D327" s="35"/>
      <c r="E327" s="35"/>
      <c r="F327" s="35"/>
      <c r="G327" s="35"/>
      <c r="H327" s="35"/>
      <c r="I327" s="35"/>
      <c r="J327" s="35"/>
      <c r="K327" s="35"/>
      <c r="L327" s="35"/>
      <c r="M327" s="35"/>
      <c r="N327" s="35"/>
      <c r="O327" s="35"/>
      <c r="P327" s="35"/>
      <c r="Q327" s="35"/>
      <c r="R327" s="35"/>
      <c r="S327" s="35"/>
      <c r="T327" s="35"/>
      <c r="U327" s="35"/>
      <c r="AE327" s="65"/>
      <c r="AF327" s="65"/>
      <c r="AG327" s="65"/>
      <c r="AH327" s="65"/>
      <c r="AI327" s="65"/>
      <c r="AJ327" s="65"/>
      <c r="AK327" s="65"/>
      <c r="AL327" s="65"/>
      <c r="AM327" s="65"/>
      <c r="AN327" s="65"/>
      <c r="AO327" s="65"/>
      <c r="AP327" s="65"/>
      <c r="AQ327" s="65"/>
      <c r="AR327" s="65"/>
      <c r="AS327" s="65"/>
      <c r="AT327" s="65"/>
    </row>
    <row r="328" spans="2:46" s="32" customFormat="1" x14ac:dyDescent="0.2">
      <c r="B328" s="44"/>
      <c r="C328" s="44"/>
      <c r="D328" s="35"/>
      <c r="E328" s="35"/>
      <c r="F328" s="35"/>
      <c r="G328" s="35"/>
      <c r="H328" s="35"/>
      <c r="I328" s="35"/>
      <c r="J328" s="35"/>
      <c r="K328" s="35"/>
      <c r="L328" s="35"/>
      <c r="M328" s="35"/>
      <c r="N328" s="35"/>
      <c r="O328" s="35"/>
      <c r="P328" s="35"/>
      <c r="Q328" s="35"/>
      <c r="R328" s="35"/>
      <c r="S328" s="35"/>
      <c r="T328" s="35"/>
      <c r="U328" s="35"/>
      <c r="AE328" s="65"/>
      <c r="AF328" s="65"/>
      <c r="AG328" s="65"/>
      <c r="AH328" s="65"/>
      <c r="AI328" s="65"/>
      <c r="AJ328" s="65"/>
      <c r="AK328" s="65"/>
      <c r="AL328" s="65"/>
      <c r="AM328" s="65"/>
      <c r="AN328" s="65"/>
      <c r="AO328" s="65"/>
      <c r="AP328" s="65"/>
      <c r="AQ328" s="65"/>
      <c r="AR328" s="65"/>
      <c r="AS328" s="65"/>
      <c r="AT328" s="65"/>
    </row>
    <row r="329" spans="2:46" s="32" customFormat="1" x14ac:dyDescent="0.2">
      <c r="B329" s="44"/>
      <c r="C329" s="44"/>
      <c r="D329" s="35"/>
      <c r="E329" s="35"/>
      <c r="F329" s="35"/>
      <c r="G329" s="35"/>
      <c r="H329" s="35"/>
      <c r="I329" s="35"/>
      <c r="J329" s="35"/>
      <c r="K329" s="35"/>
      <c r="L329" s="35"/>
      <c r="M329" s="35"/>
      <c r="N329" s="35"/>
      <c r="O329" s="35"/>
      <c r="P329" s="35"/>
      <c r="Q329" s="35"/>
      <c r="R329" s="35"/>
      <c r="S329" s="35"/>
      <c r="T329" s="35"/>
      <c r="U329" s="35"/>
      <c r="AE329" s="65"/>
      <c r="AF329" s="65"/>
      <c r="AG329" s="65"/>
      <c r="AH329" s="65"/>
      <c r="AI329" s="65"/>
      <c r="AJ329" s="65"/>
      <c r="AK329" s="65"/>
      <c r="AL329" s="65"/>
      <c r="AM329" s="65"/>
      <c r="AN329" s="65"/>
      <c r="AO329" s="65"/>
      <c r="AP329" s="65"/>
      <c r="AQ329" s="65"/>
      <c r="AR329" s="65"/>
      <c r="AS329" s="65"/>
      <c r="AT329" s="65"/>
    </row>
    <row r="330" spans="2:46" s="32" customFormat="1" x14ac:dyDescent="0.2">
      <c r="B330" s="44"/>
      <c r="C330" s="44"/>
      <c r="D330" s="35"/>
      <c r="E330" s="35"/>
      <c r="F330" s="35"/>
      <c r="G330" s="35"/>
      <c r="H330" s="35"/>
      <c r="I330" s="35"/>
      <c r="J330" s="35"/>
      <c r="K330" s="35"/>
      <c r="L330" s="35"/>
      <c r="M330" s="35"/>
      <c r="N330" s="35"/>
      <c r="O330" s="35"/>
      <c r="P330" s="35"/>
      <c r="Q330" s="35"/>
      <c r="R330" s="35"/>
      <c r="S330" s="35"/>
      <c r="T330" s="35"/>
      <c r="U330" s="35"/>
      <c r="AE330" s="65"/>
      <c r="AF330" s="65"/>
      <c r="AG330" s="65"/>
      <c r="AH330" s="65"/>
      <c r="AI330" s="65"/>
      <c r="AJ330" s="65"/>
      <c r="AK330" s="65"/>
      <c r="AL330" s="65"/>
      <c r="AM330" s="65"/>
      <c r="AN330" s="65"/>
      <c r="AO330" s="65"/>
      <c r="AP330" s="65"/>
      <c r="AQ330" s="65"/>
      <c r="AR330" s="65"/>
      <c r="AS330" s="65"/>
      <c r="AT330" s="65"/>
    </row>
    <row r="331" spans="2:46" s="32" customFormat="1" x14ac:dyDescent="0.2">
      <c r="B331" s="44"/>
      <c r="C331" s="44"/>
      <c r="D331" s="35"/>
      <c r="E331" s="35"/>
      <c r="F331" s="35"/>
      <c r="G331" s="35"/>
      <c r="H331" s="35"/>
      <c r="I331" s="35"/>
      <c r="J331" s="35"/>
      <c r="K331" s="35"/>
      <c r="L331" s="35"/>
      <c r="M331" s="35"/>
      <c r="N331" s="35"/>
      <c r="O331" s="35"/>
      <c r="P331" s="35"/>
      <c r="Q331" s="35"/>
      <c r="R331" s="35"/>
      <c r="S331" s="35"/>
      <c r="T331" s="35"/>
      <c r="U331" s="35"/>
      <c r="AE331" s="65"/>
      <c r="AF331" s="65"/>
      <c r="AG331" s="65"/>
      <c r="AH331" s="65"/>
      <c r="AI331" s="65"/>
      <c r="AJ331" s="65"/>
      <c r="AK331" s="65"/>
      <c r="AL331" s="65"/>
      <c r="AM331" s="65"/>
      <c r="AN331" s="65"/>
      <c r="AO331" s="65"/>
      <c r="AP331" s="65"/>
      <c r="AQ331" s="65"/>
      <c r="AR331" s="65"/>
      <c r="AS331" s="65"/>
      <c r="AT331" s="65"/>
    </row>
    <row r="332" spans="2:46" s="32" customFormat="1" x14ac:dyDescent="0.2">
      <c r="B332" s="44"/>
      <c r="C332" s="44"/>
      <c r="D332" s="35"/>
      <c r="E332" s="35"/>
      <c r="F332" s="35"/>
      <c r="G332" s="35"/>
      <c r="H332" s="35"/>
      <c r="I332" s="35"/>
      <c r="J332" s="35"/>
      <c r="K332" s="35"/>
      <c r="L332" s="35"/>
      <c r="M332" s="35"/>
      <c r="N332" s="35"/>
      <c r="O332" s="35"/>
      <c r="P332" s="35"/>
      <c r="Q332" s="35"/>
      <c r="R332" s="35"/>
      <c r="S332" s="35"/>
      <c r="T332" s="35"/>
      <c r="U332" s="35"/>
      <c r="AE332" s="65"/>
      <c r="AF332" s="65"/>
      <c r="AG332" s="65"/>
      <c r="AH332" s="65"/>
      <c r="AI332" s="65"/>
      <c r="AJ332" s="65"/>
      <c r="AK332" s="65"/>
      <c r="AL332" s="65"/>
      <c r="AM332" s="65"/>
      <c r="AN332" s="65"/>
      <c r="AO332" s="65"/>
      <c r="AP332" s="65"/>
      <c r="AQ332" s="65"/>
      <c r="AR332" s="65"/>
      <c r="AS332" s="65"/>
      <c r="AT332" s="65"/>
    </row>
    <row r="333" spans="2:46" s="32" customFormat="1" x14ac:dyDescent="0.2">
      <c r="B333" s="44"/>
      <c r="C333" s="44"/>
      <c r="D333" s="35"/>
      <c r="E333" s="35"/>
      <c r="F333" s="35"/>
      <c r="G333" s="35"/>
      <c r="H333" s="35"/>
      <c r="I333" s="35"/>
      <c r="J333" s="35"/>
      <c r="K333" s="35"/>
      <c r="L333" s="35"/>
      <c r="M333" s="35"/>
      <c r="N333" s="35"/>
      <c r="O333" s="35"/>
      <c r="P333" s="35"/>
      <c r="Q333" s="35"/>
      <c r="R333" s="35"/>
      <c r="S333" s="35"/>
      <c r="T333" s="35"/>
      <c r="U333" s="35"/>
      <c r="AE333" s="65"/>
      <c r="AF333" s="65"/>
      <c r="AG333" s="65"/>
      <c r="AH333" s="65"/>
      <c r="AI333" s="65"/>
      <c r="AJ333" s="65"/>
      <c r="AK333" s="65"/>
      <c r="AL333" s="65"/>
      <c r="AM333" s="65"/>
      <c r="AN333" s="65"/>
      <c r="AO333" s="65"/>
      <c r="AP333" s="65"/>
      <c r="AQ333" s="65"/>
      <c r="AR333" s="65"/>
      <c r="AS333" s="65"/>
      <c r="AT333" s="65"/>
    </row>
    <row r="334" spans="2:46" s="32" customFormat="1" x14ac:dyDescent="0.2">
      <c r="B334" s="44"/>
      <c r="C334" s="44"/>
      <c r="D334" s="35"/>
      <c r="E334" s="35"/>
      <c r="F334" s="35"/>
      <c r="G334" s="35"/>
      <c r="H334" s="35"/>
      <c r="I334" s="35"/>
      <c r="J334" s="35"/>
      <c r="K334" s="35"/>
      <c r="L334" s="35"/>
      <c r="M334" s="35"/>
      <c r="N334" s="35"/>
      <c r="O334" s="35"/>
      <c r="P334" s="35"/>
      <c r="Q334" s="35"/>
      <c r="R334" s="35"/>
      <c r="S334" s="35"/>
      <c r="T334" s="35"/>
      <c r="U334" s="35"/>
      <c r="AE334" s="65"/>
      <c r="AF334" s="65"/>
      <c r="AG334" s="65"/>
      <c r="AH334" s="65"/>
      <c r="AI334" s="65"/>
      <c r="AJ334" s="65"/>
      <c r="AK334" s="65"/>
      <c r="AL334" s="65"/>
      <c r="AM334" s="65"/>
      <c r="AN334" s="65"/>
      <c r="AO334" s="65"/>
      <c r="AP334" s="65"/>
      <c r="AQ334" s="65"/>
      <c r="AR334" s="65"/>
      <c r="AS334" s="65"/>
      <c r="AT334" s="65"/>
    </row>
    <row r="335" spans="2:46" s="32" customFormat="1" x14ac:dyDescent="0.2">
      <c r="B335" s="44"/>
      <c r="C335" s="44"/>
      <c r="D335" s="35"/>
      <c r="E335" s="35"/>
      <c r="F335" s="35"/>
      <c r="G335" s="35"/>
      <c r="H335" s="35"/>
      <c r="I335" s="35"/>
      <c r="J335" s="35"/>
      <c r="K335" s="35"/>
      <c r="L335" s="35"/>
      <c r="M335" s="35"/>
      <c r="N335" s="35"/>
      <c r="O335" s="35"/>
      <c r="P335" s="35"/>
      <c r="Q335" s="35"/>
      <c r="R335" s="35"/>
      <c r="S335" s="35"/>
      <c r="T335" s="35"/>
      <c r="U335" s="35"/>
      <c r="AE335" s="65"/>
      <c r="AF335" s="65"/>
      <c r="AG335" s="65"/>
      <c r="AH335" s="65"/>
      <c r="AI335" s="65"/>
      <c r="AJ335" s="65"/>
      <c r="AK335" s="65"/>
      <c r="AL335" s="65"/>
      <c r="AM335" s="65"/>
      <c r="AN335" s="65"/>
      <c r="AO335" s="65"/>
      <c r="AP335" s="65"/>
      <c r="AQ335" s="65"/>
      <c r="AR335" s="65"/>
      <c r="AS335" s="65"/>
      <c r="AT335" s="65"/>
    </row>
    <row r="336" spans="2:46" s="32" customFormat="1" x14ac:dyDescent="0.2">
      <c r="B336" s="44"/>
      <c r="C336" s="44"/>
      <c r="D336" s="35"/>
      <c r="E336" s="35"/>
      <c r="F336" s="35"/>
      <c r="G336" s="35"/>
      <c r="H336" s="35"/>
      <c r="I336" s="35"/>
      <c r="J336" s="35"/>
      <c r="K336" s="35"/>
      <c r="L336" s="35"/>
      <c r="M336" s="35"/>
      <c r="N336" s="35"/>
      <c r="O336" s="35"/>
      <c r="P336" s="35"/>
      <c r="Q336" s="35"/>
      <c r="R336" s="35"/>
      <c r="S336" s="35"/>
      <c r="T336" s="35"/>
      <c r="U336" s="35"/>
      <c r="AE336" s="65"/>
      <c r="AF336" s="65"/>
      <c r="AG336" s="65"/>
      <c r="AH336" s="65"/>
      <c r="AI336" s="65"/>
      <c r="AJ336" s="65"/>
      <c r="AK336" s="65"/>
      <c r="AL336" s="65"/>
      <c r="AM336" s="65"/>
      <c r="AN336" s="65"/>
      <c r="AO336" s="65"/>
      <c r="AP336" s="65"/>
      <c r="AQ336" s="65"/>
      <c r="AR336" s="65"/>
      <c r="AS336" s="65"/>
      <c r="AT336" s="65"/>
    </row>
    <row r="337" spans="2:46" s="32" customFormat="1" x14ac:dyDescent="0.2">
      <c r="B337" s="44"/>
      <c r="C337" s="44"/>
      <c r="D337" s="35"/>
      <c r="E337" s="35"/>
      <c r="F337" s="35"/>
      <c r="G337" s="35"/>
      <c r="H337" s="35"/>
      <c r="I337" s="35"/>
      <c r="J337" s="35"/>
      <c r="K337" s="35"/>
      <c r="L337" s="35"/>
      <c r="M337" s="35"/>
      <c r="N337" s="35"/>
      <c r="O337" s="35"/>
      <c r="P337" s="35"/>
      <c r="Q337" s="35"/>
      <c r="R337" s="35"/>
      <c r="S337" s="35"/>
      <c r="T337" s="35"/>
      <c r="U337" s="35"/>
      <c r="AE337" s="65"/>
      <c r="AF337" s="65"/>
      <c r="AG337" s="65"/>
      <c r="AH337" s="65"/>
      <c r="AI337" s="65"/>
      <c r="AJ337" s="65"/>
      <c r="AK337" s="65"/>
      <c r="AL337" s="65"/>
      <c r="AM337" s="65"/>
      <c r="AN337" s="65"/>
      <c r="AO337" s="65"/>
      <c r="AP337" s="65"/>
      <c r="AQ337" s="65"/>
      <c r="AR337" s="65"/>
      <c r="AS337" s="65"/>
      <c r="AT337" s="65"/>
    </row>
    <row r="338" spans="2:46" s="32" customFormat="1" x14ac:dyDescent="0.2">
      <c r="B338" s="44"/>
      <c r="C338" s="44"/>
      <c r="D338" s="35"/>
      <c r="E338" s="35"/>
      <c r="F338" s="35"/>
      <c r="G338" s="35"/>
      <c r="H338" s="35"/>
      <c r="I338" s="35"/>
      <c r="J338" s="35"/>
      <c r="K338" s="35"/>
      <c r="L338" s="35"/>
      <c r="M338" s="35"/>
      <c r="N338" s="35"/>
      <c r="O338" s="35"/>
      <c r="P338" s="35"/>
      <c r="Q338" s="35"/>
      <c r="R338" s="35"/>
      <c r="S338" s="35"/>
      <c r="T338" s="35"/>
      <c r="U338" s="35"/>
      <c r="AE338" s="65"/>
      <c r="AF338" s="65"/>
      <c r="AG338" s="65"/>
      <c r="AH338" s="65"/>
      <c r="AI338" s="65"/>
      <c r="AJ338" s="65"/>
      <c r="AK338" s="65"/>
      <c r="AL338" s="65"/>
      <c r="AM338" s="65"/>
      <c r="AN338" s="65"/>
      <c r="AO338" s="65"/>
      <c r="AP338" s="65"/>
      <c r="AQ338" s="65"/>
      <c r="AR338" s="65"/>
      <c r="AS338" s="65"/>
      <c r="AT338" s="65"/>
    </row>
    <row r="339" spans="2:46" s="32" customFormat="1" x14ac:dyDescent="0.2">
      <c r="B339" s="44"/>
      <c r="C339" s="44"/>
      <c r="D339" s="35"/>
      <c r="E339" s="35"/>
      <c r="F339" s="35"/>
      <c r="G339" s="35"/>
      <c r="H339" s="35"/>
      <c r="I339" s="35"/>
      <c r="J339" s="35"/>
      <c r="K339" s="35"/>
      <c r="L339" s="35"/>
      <c r="M339" s="35"/>
      <c r="N339" s="35"/>
      <c r="O339" s="35"/>
      <c r="P339" s="35"/>
      <c r="Q339" s="35"/>
      <c r="R339" s="35"/>
      <c r="S339" s="35"/>
      <c r="T339" s="35"/>
      <c r="U339" s="35"/>
      <c r="AE339" s="65"/>
      <c r="AF339" s="65"/>
      <c r="AG339" s="65"/>
      <c r="AH339" s="65"/>
      <c r="AI339" s="65"/>
      <c r="AJ339" s="65"/>
      <c r="AK339" s="65"/>
      <c r="AL339" s="65"/>
      <c r="AM339" s="65"/>
      <c r="AN339" s="65"/>
      <c r="AO339" s="65"/>
      <c r="AP339" s="65"/>
      <c r="AQ339" s="65"/>
      <c r="AR339" s="65"/>
      <c r="AS339" s="65"/>
      <c r="AT339" s="65"/>
    </row>
    <row r="340" spans="2:46" s="32" customFormat="1" x14ac:dyDescent="0.2">
      <c r="B340" s="44"/>
      <c r="C340" s="44"/>
      <c r="D340" s="35"/>
      <c r="E340" s="35"/>
      <c r="F340" s="35"/>
      <c r="G340" s="35"/>
      <c r="H340" s="35"/>
      <c r="I340" s="35"/>
      <c r="J340" s="35"/>
      <c r="K340" s="35"/>
      <c r="L340" s="35"/>
      <c r="M340" s="35"/>
      <c r="N340" s="35"/>
      <c r="O340" s="35"/>
      <c r="P340" s="35"/>
      <c r="Q340" s="35"/>
      <c r="R340" s="35"/>
      <c r="S340" s="35"/>
      <c r="T340" s="35"/>
      <c r="U340" s="35"/>
      <c r="AE340" s="65"/>
      <c r="AF340" s="65"/>
      <c r="AG340" s="65"/>
      <c r="AH340" s="65"/>
      <c r="AI340" s="65"/>
      <c r="AJ340" s="65"/>
      <c r="AK340" s="65"/>
      <c r="AL340" s="65"/>
      <c r="AM340" s="65"/>
      <c r="AN340" s="65"/>
      <c r="AO340" s="65"/>
      <c r="AP340" s="65"/>
      <c r="AQ340" s="65"/>
      <c r="AR340" s="65"/>
      <c r="AS340" s="65"/>
      <c r="AT340" s="65"/>
    </row>
    <row r="341" spans="2:46" s="32" customFormat="1" x14ac:dyDescent="0.2">
      <c r="B341" s="44"/>
      <c r="C341" s="44"/>
      <c r="D341" s="35"/>
      <c r="E341" s="35"/>
      <c r="F341" s="35"/>
      <c r="G341" s="35"/>
      <c r="H341" s="35"/>
      <c r="I341" s="35"/>
      <c r="J341" s="35"/>
      <c r="K341" s="35"/>
      <c r="L341" s="35"/>
      <c r="M341" s="35"/>
      <c r="N341" s="35"/>
      <c r="O341" s="35"/>
      <c r="P341" s="35"/>
      <c r="Q341" s="35"/>
      <c r="R341" s="35"/>
      <c r="S341" s="35"/>
      <c r="T341" s="35"/>
      <c r="U341" s="35"/>
      <c r="AE341" s="65"/>
      <c r="AF341" s="65"/>
      <c r="AG341" s="65"/>
      <c r="AH341" s="65"/>
      <c r="AI341" s="65"/>
      <c r="AJ341" s="65"/>
      <c r="AK341" s="65"/>
      <c r="AL341" s="65"/>
      <c r="AM341" s="65"/>
      <c r="AN341" s="65"/>
      <c r="AO341" s="65"/>
      <c r="AP341" s="65"/>
      <c r="AQ341" s="65"/>
      <c r="AR341" s="65"/>
      <c r="AS341" s="65"/>
      <c r="AT341" s="65"/>
    </row>
    <row r="342" spans="2:46" s="32" customFormat="1" x14ac:dyDescent="0.2">
      <c r="B342" s="44"/>
      <c r="C342" s="44"/>
      <c r="D342" s="35"/>
      <c r="E342" s="35"/>
      <c r="F342" s="35"/>
      <c r="G342" s="35"/>
      <c r="H342" s="35"/>
      <c r="I342" s="35"/>
      <c r="J342" s="35"/>
      <c r="K342" s="35"/>
      <c r="L342" s="35"/>
      <c r="M342" s="35"/>
      <c r="N342" s="35"/>
      <c r="O342" s="35"/>
      <c r="P342" s="35"/>
      <c r="Q342" s="35"/>
      <c r="R342" s="35"/>
      <c r="S342" s="35"/>
      <c r="T342" s="35"/>
      <c r="U342" s="35"/>
      <c r="AE342" s="65"/>
      <c r="AF342" s="65"/>
      <c r="AG342" s="65"/>
      <c r="AH342" s="65"/>
      <c r="AI342" s="65"/>
      <c r="AJ342" s="65"/>
      <c r="AK342" s="65"/>
      <c r="AL342" s="65"/>
      <c r="AM342" s="65"/>
      <c r="AN342" s="65"/>
      <c r="AO342" s="65"/>
      <c r="AP342" s="65"/>
      <c r="AQ342" s="65"/>
      <c r="AR342" s="65"/>
      <c r="AS342" s="65"/>
      <c r="AT342" s="65"/>
    </row>
    <row r="343" spans="2:46" s="32" customFormat="1" x14ac:dyDescent="0.2">
      <c r="B343" s="44"/>
      <c r="C343" s="44"/>
      <c r="D343" s="35"/>
      <c r="E343" s="35"/>
      <c r="F343" s="35"/>
      <c r="G343" s="35"/>
      <c r="H343" s="35"/>
      <c r="I343" s="35"/>
      <c r="J343" s="35"/>
      <c r="K343" s="35"/>
      <c r="L343" s="35"/>
      <c r="M343" s="35"/>
      <c r="N343" s="35"/>
      <c r="O343" s="35"/>
      <c r="P343" s="35"/>
      <c r="Q343" s="35"/>
      <c r="R343" s="35"/>
      <c r="S343" s="35"/>
      <c r="T343" s="35"/>
      <c r="U343" s="35"/>
      <c r="AE343" s="65"/>
      <c r="AF343" s="65"/>
      <c r="AG343" s="65"/>
      <c r="AH343" s="65"/>
      <c r="AI343" s="65"/>
      <c r="AJ343" s="65"/>
      <c r="AK343" s="65"/>
      <c r="AL343" s="65"/>
      <c r="AM343" s="65"/>
      <c r="AN343" s="65"/>
      <c r="AO343" s="65"/>
      <c r="AP343" s="65"/>
      <c r="AQ343" s="65"/>
      <c r="AR343" s="65"/>
      <c r="AS343" s="65"/>
      <c r="AT343" s="65"/>
    </row>
    <row r="344" spans="2:46" s="32" customFormat="1" x14ac:dyDescent="0.2">
      <c r="B344" s="44"/>
      <c r="C344" s="44"/>
      <c r="D344" s="35"/>
      <c r="E344" s="35"/>
      <c r="F344" s="35"/>
      <c r="G344" s="35"/>
      <c r="H344" s="35"/>
      <c r="I344" s="35"/>
      <c r="J344" s="35"/>
      <c r="K344" s="35"/>
      <c r="L344" s="35"/>
      <c r="M344" s="35"/>
      <c r="N344" s="35"/>
      <c r="O344" s="35"/>
      <c r="P344" s="35"/>
      <c r="Q344" s="35"/>
      <c r="R344" s="35"/>
      <c r="S344" s="35"/>
      <c r="T344" s="35"/>
      <c r="U344" s="35"/>
      <c r="AE344" s="65"/>
      <c r="AF344" s="65"/>
      <c r="AG344" s="65"/>
      <c r="AH344" s="65"/>
      <c r="AI344" s="65"/>
      <c r="AJ344" s="65"/>
      <c r="AK344" s="65"/>
      <c r="AL344" s="65"/>
      <c r="AM344" s="65"/>
      <c r="AN344" s="65"/>
      <c r="AO344" s="65"/>
      <c r="AP344" s="65"/>
      <c r="AQ344" s="65"/>
      <c r="AR344" s="65"/>
      <c r="AS344" s="65"/>
      <c r="AT344" s="65"/>
    </row>
    <row r="345" spans="2:46" s="32" customFormat="1" x14ac:dyDescent="0.2">
      <c r="B345" s="44"/>
      <c r="C345" s="44"/>
      <c r="D345" s="35"/>
      <c r="E345" s="35"/>
      <c r="F345" s="35"/>
      <c r="G345" s="35"/>
      <c r="H345" s="35"/>
      <c r="I345" s="35"/>
      <c r="J345" s="35"/>
      <c r="K345" s="35"/>
      <c r="L345" s="35"/>
      <c r="M345" s="35"/>
      <c r="N345" s="35"/>
      <c r="O345" s="35"/>
      <c r="P345" s="35"/>
      <c r="Q345" s="35"/>
      <c r="R345" s="35"/>
      <c r="S345" s="35"/>
      <c r="T345" s="35"/>
      <c r="U345" s="35"/>
      <c r="AE345" s="65"/>
      <c r="AF345" s="65"/>
      <c r="AG345" s="65"/>
      <c r="AH345" s="65"/>
      <c r="AI345" s="65"/>
      <c r="AJ345" s="65"/>
      <c r="AK345" s="65"/>
      <c r="AL345" s="65"/>
      <c r="AM345" s="65"/>
      <c r="AN345" s="65"/>
      <c r="AO345" s="65"/>
      <c r="AP345" s="65"/>
      <c r="AQ345" s="65"/>
      <c r="AR345" s="65"/>
      <c r="AS345" s="65"/>
      <c r="AT345" s="65"/>
    </row>
    <row r="346" spans="2:46" s="32" customFormat="1" x14ac:dyDescent="0.2">
      <c r="B346" s="44"/>
      <c r="C346" s="44"/>
      <c r="D346" s="35"/>
      <c r="E346" s="35"/>
      <c r="F346" s="35"/>
      <c r="G346" s="35"/>
      <c r="H346" s="35"/>
      <c r="I346" s="35"/>
      <c r="J346" s="35"/>
      <c r="K346" s="35"/>
      <c r="L346" s="35"/>
      <c r="M346" s="35"/>
      <c r="N346" s="35"/>
      <c r="O346" s="35"/>
      <c r="P346" s="35"/>
      <c r="Q346" s="35"/>
      <c r="R346" s="35"/>
      <c r="S346" s="35"/>
      <c r="T346" s="35"/>
      <c r="U346" s="35"/>
      <c r="AE346" s="65"/>
      <c r="AF346" s="65"/>
      <c r="AG346" s="65"/>
      <c r="AH346" s="65"/>
      <c r="AI346" s="65"/>
      <c r="AJ346" s="65"/>
      <c r="AK346" s="65"/>
      <c r="AL346" s="65"/>
      <c r="AM346" s="65"/>
      <c r="AN346" s="65"/>
      <c r="AO346" s="65"/>
      <c r="AP346" s="65"/>
      <c r="AQ346" s="65"/>
      <c r="AR346" s="65"/>
      <c r="AS346" s="65"/>
      <c r="AT346" s="65"/>
    </row>
    <row r="347" spans="2:46" s="32" customFormat="1" x14ac:dyDescent="0.2">
      <c r="B347" s="44"/>
      <c r="C347" s="44"/>
      <c r="D347" s="35"/>
      <c r="E347" s="35"/>
      <c r="F347" s="35"/>
      <c r="G347" s="35"/>
      <c r="H347" s="35"/>
      <c r="I347" s="35"/>
      <c r="J347" s="35"/>
      <c r="K347" s="35"/>
      <c r="L347" s="35"/>
      <c r="M347" s="35"/>
      <c r="N347" s="35"/>
      <c r="O347" s="35"/>
      <c r="P347" s="35"/>
      <c r="Q347" s="35"/>
      <c r="R347" s="35"/>
      <c r="S347" s="35"/>
      <c r="T347" s="35"/>
      <c r="U347" s="35"/>
      <c r="AE347" s="65"/>
      <c r="AF347" s="65"/>
      <c r="AG347" s="65"/>
      <c r="AH347" s="65"/>
      <c r="AI347" s="65"/>
      <c r="AJ347" s="65"/>
      <c r="AK347" s="65"/>
      <c r="AL347" s="65"/>
      <c r="AM347" s="65"/>
      <c r="AN347" s="65"/>
      <c r="AO347" s="65"/>
      <c r="AP347" s="65"/>
      <c r="AQ347" s="65"/>
      <c r="AR347" s="65"/>
      <c r="AS347" s="65"/>
      <c r="AT347" s="65"/>
    </row>
    <row r="348" spans="2:46" s="32" customFormat="1" x14ac:dyDescent="0.2">
      <c r="B348" s="44"/>
      <c r="C348" s="44"/>
      <c r="D348" s="35"/>
      <c r="E348" s="35"/>
      <c r="F348" s="35"/>
      <c r="G348" s="35"/>
      <c r="H348" s="35"/>
      <c r="I348" s="35"/>
      <c r="J348" s="35"/>
      <c r="K348" s="35"/>
      <c r="L348" s="35"/>
      <c r="M348" s="35"/>
      <c r="N348" s="35"/>
      <c r="O348" s="35"/>
      <c r="P348" s="35"/>
      <c r="Q348" s="35"/>
      <c r="R348" s="35"/>
      <c r="S348" s="35"/>
      <c r="T348" s="35"/>
      <c r="U348" s="35"/>
      <c r="AE348" s="65"/>
      <c r="AF348" s="65"/>
      <c r="AG348" s="65"/>
      <c r="AH348" s="65"/>
      <c r="AI348" s="65"/>
      <c r="AJ348" s="65"/>
      <c r="AK348" s="65"/>
      <c r="AL348" s="65"/>
      <c r="AM348" s="65"/>
      <c r="AN348" s="65"/>
      <c r="AO348" s="65"/>
      <c r="AP348" s="65"/>
      <c r="AQ348" s="65"/>
      <c r="AR348" s="65"/>
      <c r="AS348" s="65"/>
      <c r="AT348" s="65"/>
    </row>
    <row r="349" spans="2:46" s="32" customFormat="1" x14ac:dyDescent="0.2">
      <c r="B349" s="44"/>
      <c r="C349" s="44"/>
      <c r="D349" s="35"/>
      <c r="E349" s="35"/>
      <c r="F349" s="35"/>
      <c r="G349" s="35"/>
      <c r="H349" s="35"/>
      <c r="I349" s="35"/>
      <c r="J349" s="35"/>
      <c r="K349" s="35"/>
      <c r="L349" s="35"/>
      <c r="M349" s="35"/>
      <c r="N349" s="35"/>
      <c r="O349" s="35"/>
      <c r="P349" s="35"/>
      <c r="Q349" s="35"/>
      <c r="R349" s="35"/>
      <c r="S349" s="35"/>
      <c r="T349" s="35"/>
      <c r="U349" s="35"/>
      <c r="AE349" s="65"/>
      <c r="AF349" s="65"/>
      <c r="AG349" s="65"/>
      <c r="AH349" s="65"/>
      <c r="AI349" s="65"/>
      <c r="AJ349" s="65"/>
      <c r="AK349" s="65"/>
      <c r="AL349" s="65"/>
      <c r="AM349" s="65"/>
      <c r="AN349" s="65"/>
      <c r="AO349" s="65"/>
      <c r="AP349" s="65"/>
      <c r="AQ349" s="65"/>
      <c r="AR349" s="65"/>
      <c r="AS349" s="65"/>
      <c r="AT349" s="65"/>
    </row>
    <row r="350" spans="2:46" s="32" customFormat="1" x14ac:dyDescent="0.2">
      <c r="B350" s="44"/>
      <c r="C350" s="44"/>
      <c r="D350" s="35"/>
      <c r="E350" s="35"/>
      <c r="F350" s="35"/>
      <c r="G350" s="35"/>
      <c r="H350" s="35"/>
      <c r="I350" s="35"/>
      <c r="J350" s="35"/>
      <c r="K350" s="35"/>
      <c r="L350" s="35"/>
      <c r="M350" s="35"/>
      <c r="N350" s="35"/>
      <c r="O350" s="35"/>
      <c r="P350" s="35"/>
      <c r="Q350" s="35"/>
      <c r="R350" s="35"/>
      <c r="S350" s="35"/>
      <c r="T350" s="35"/>
      <c r="U350" s="35"/>
      <c r="AE350" s="65"/>
      <c r="AF350" s="65"/>
      <c r="AG350" s="65"/>
      <c r="AH350" s="65"/>
      <c r="AI350" s="65"/>
      <c r="AJ350" s="65"/>
      <c r="AK350" s="65"/>
      <c r="AL350" s="65"/>
      <c r="AM350" s="65"/>
      <c r="AN350" s="65"/>
      <c r="AO350" s="65"/>
      <c r="AP350" s="65"/>
      <c r="AQ350" s="65"/>
      <c r="AR350" s="65"/>
      <c r="AS350" s="65"/>
      <c r="AT350" s="65"/>
    </row>
    <row r="351" spans="2:46" s="32" customFormat="1" x14ac:dyDescent="0.2">
      <c r="B351" s="44"/>
      <c r="C351" s="44"/>
      <c r="D351" s="35"/>
      <c r="E351" s="35"/>
      <c r="F351" s="35"/>
      <c r="G351" s="35"/>
      <c r="H351" s="35"/>
      <c r="I351" s="35"/>
      <c r="J351" s="35"/>
      <c r="K351" s="35"/>
      <c r="L351" s="35"/>
      <c r="M351" s="35"/>
      <c r="N351" s="35"/>
      <c r="O351" s="35"/>
      <c r="P351" s="35"/>
      <c r="Q351" s="35"/>
      <c r="R351" s="35"/>
      <c r="S351" s="35"/>
      <c r="T351" s="35"/>
      <c r="U351" s="35"/>
      <c r="AE351" s="65"/>
      <c r="AF351" s="65"/>
      <c r="AG351" s="65"/>
      <c r="AH351" s="65"/>
      <c r="AI351" s="65"/>
      <c r="AJ351" s="65"/>
      <c r="AK351" s="65"/>
      <c r="AL351" s="65"/>
      <c r="AM351" s="65"/>
      <c r="AN351" s="65"/>
      <c r="AO351" s="65"/>
      <c r="AP351" s="65"/>
      <c r="AQ351" s="65"/>
      <c r="AR351" s="65"/>
      <c r="AS351" s="65"/>
      <c r="AT351" s="65"/>
    </row>
    <row r="352" spans="2:46" s="32" customFormat="1" x14ac:dyDescent="0.2">
      <c r="B352" s="44"/>
      <c r="C352" s="44"/>
      <c r="D352" s="35"/>
      <c r="E352" s="35"/>
      <c r="F352" s="35"/>
      <c r="G352" s="35"/>
      <c r="H352" s="35"/>
      <c r="I352" s="35"/>
      <c r="J352" s="35"/>
      <c r="K352" s="35"/>
      <c r="L352" s="35"/>
      <c r="M352" s="35"/>
      <c r="N352" s="35"/>
      <c r="O352" s="35"/>
      <c r="P352" s="35"/>
      <c r="Q352" s="35"/>
      <c r="R352" s="35"/>
      <c r="S352" s="35"/>
      <c r="T352" s="35"/>
      <c r="U352" s="35"/>
      <c r="AE352" s="65"/>
      <c r="AF352" s="65"/>
      <c r="AG352" s="65"/>
      <c r="AH352" s="65"/>
      <c r="AI352" s="65"/>
      <c r="AJ352" s="65"/>
      <c r="AK352" s="65"/>
      <c r="AL352" s="65"/>
      <c r="AM352" s="65"/>
      <c r="AN352" s="65"/>
      <c r="AO352" s="65"/>
      <c r="AP352" s="65"/>
      <c r="AQ352" s="65"/>
      <c r="AR352" s="65"/>
      <c r="AS352" s="65"/>
      <c r="AT352" s="65"/>
    </row>
    <row r="353" spans="2:46" s="32" customFormat="1" x14ac:dyDescent="0.2">
      <c r="B353" s="44"/>
      <c r="C353" s="44"/>
      <c r="D353" s="35"/>
      <c r="E353" s="35"/>
      <c r="F353" s="35"/>
      <c r="G353" s="35"/>
      <c r="H353" s="35"/>
      <c r="I353" s="35"/>
      <c r="J353" s="35"/>
      <c r="K353" s="35"/>
      <c r="L353" s="35"/>
      <c r="M353" s="35"/>
      <c r="N353" s="35"/>
      <c r="O353" s="35"/>
      <c r="P353" s="35"/>
      <c r="Q353" s="35"/>
      <c r="R353" s="35"/>
      <c r="S353" s="35"/>
      <c r="T353" s="35"/>
      <c r="U353" s="35"/>
      <c r="AE353" s="65"/>
      <c r="AF353" s="65"/>
      <c r="AG353" s="65"/>
      <c r="AH353" s="65"/>
      <c r="AI353" s="65"/>
      <c r="AJ353" s="65"/>
      <c r="AK353" s="65"/>
      <c r="AL353" s="65"/>
      <c r="AM353" s="65"/>
      <c r="AN353" s="65"/>
      <c r="AO353" s="65"/>
      <c r="AP353" s="65"/>
      <c r="AQ353" s="65"/>
      <c r="AR353" s="65"/>
      <c r="AS353" s="65"/>
      <c r="AT353" s="65"/>
    </row>
    <row r="354" spans="2:46" s="32" customFormat="1" x14ac:dyDescent="0.2">
      <c r="B354" s="44"/>
      <c r="C354" s="44"/>
      <c r="D354" s="35"/>
      <c r="E354" s="35"/>
      <c r="F354" s="35"/>
      <c r="G354" s="35"/>
      <c r="H354" s="35"/>
      <c r="I354" s="35"/>
      <c r="J354" s="35"/>
      <c r="K354" s="35"/>
      <c r="L354" s="35"/>
      <c r="M354" s="35"/>
      <c r="N354" s="35"/>
      <c r="O354" s="35"/>
      <c r="P354" s="35"/>
      <c r="Q354" s="35"/>
      <c r="R354" s="35"/>
      <c r="S354" s="35"/>
      <c r="T354" s="35"/>
      <c r="U354" s="35"/>
      <c r="AE354" s="65"/>
      <c r="AF354" s="65"/>
      <c r="AG354" s="65"/>
      <c r="AH354" s="65"/>
      <c r="AI354" s="65"/>
      <c r="AJ354" s="65"/>
      <c r="AK354" s="65"/>
      <c r="AL354" s="65"/>
      <c r="AM354" s="65"/>
      <c r="AN354" s="65"/>
      <c r="AO354" s="65"/>
      <c r="AP354" s="65"/>
      <c r="AQ354" s="65"/>
      <c r="AR354" s="65"/>
      <c r="AS354" s="65"/>
      <c r="AT354" s="65"/>
    </row>
    <row r="355" spans="2:46" s="32" customFormat="1" x14ac:dyDescent="0.2">
      <c r="B355" s="44"/>
      <c r="C355" s="44"/>
      <c r="D355" s="35"/>
      <c r="E355" s="35"/>
      <c r="F355" s="35"/>
      <c r="G355" s="35"/>
      <c r="H355" s="35"/>
      <c r="I355" s="35"/>
      <c r="J355" s="35"/>
      <c r="K355" s="35"/>
      <c r="L355" s="35"/>
      <c r="M355" s="35"/>
      <c r="N355" s="35"/>
      <c r="O355" s="35"/>
      <c r="P355" s="35"/>
      <c r="Q355" s="35"/>
      <c r="R355" s="35"/>
      <c r="S355" s="35"/>
      <c r="T355" s="35"/>
      <c r="U355" s="35"/>
      <c r="AE355" s="65"/>
      <c r="AF355" s="65"/>
      <c r="AG355" s="65"/>
      <c r="AH355" s="65"/>
      <c r="AI355" s="65"/>
      <c r="AJ355" s="65"/>
      <c r="AK355" s="65"/>
      <c r="AL355" s="65"/>
      <c r="AM355" s="65"/>
      <c r="AN355" s="65"/>
      <c r="AO355" s="65"/>
      <c r="AP355" s="65"/>
      <c r="AQ355" s="65"/>
      <c r="AR355" s="65"/>
      <c r="AS355" s="65"/>
      <c r="AT355" s="65"/>
    </row>
    <row r="356" spans="2:46" s="32" customFormat="1" x14ac:dyDescent="0.2">
      <c r="B356" s="44"/>
      <c r="C356" s="44"/>
      <c r="D356" s="35"/>
      <c r="E356" s="35"/>
      <c r="F356" s="35"/>
      <c r="G356" s="35"/>
      <c r="H356" s="35"/>
      <c r="I356" s="35"/>
      <c r="J356" s="35"/>
      <c r="K356" s="35"/>
      <c r="L356" s="35"/>
      <c r="M356" s="35"/>
      <c r="N356" s="35"/>
      <c r="O356" s="35"/>
      <c r="P356" s="35"/>
      <c r="Q356" s="35"/>
      <c r="R356" s="35"/>
      <c r="S356" s="35"/>
      <c r="T356" s="35"/>
      <c r="U356" s="35"/>
      <c r="AE356" s="65"/>
      <c r="AF356" s="65"/>
      <c r="AG356" s="65"/>
      <c r="AH356" s="65"/>
      <c r="AI356" s="65"/>
      <c r="AJ356" s="65"/>
      <c r="AK356" s="65"/>
      <c r="AL356" s="65"/>
      <c r="AM356" s="65"/>
      <c r="AN356" s="65"/>
      <c r="AO356" s="65"/>
      <c r="AP356" s="65"/>
      <c r="AQ356" s="65"/>
      <c r="AR356" s="65"/>
      <c r="AS356" s="65"/>
      <c r="AT356" s="65"/>
    </row>
    <row r="357" spans="2:46" s="32" customFormat="1" x14ac:dyDescent="0.2">
      <c r="B357" s="44"/>
      <c r="C357" s="44"/>
      <c r="D357" s="35"/>
      <c r="E357" s="35"/>
      <c r="F357" s="35"/>
      <c r="G357" s="35"/>
      <c r="H357" s="35"/>
      <c r="I357" s="35"/>
      <c r="J357" s="35"/>
      <c r="K357" s="35"/>
      <c r="L357" s="35"/>
      <c r="M357" s="35"/>
      <c r="N357" s="35"/>
      <c r="O357" s="35"/>
      <c r="P357" s="35"/>
      <c r="Q357" s="35"/>
      <c r="R357" s="35"/>
      <c r="S357" s="35"/>
      <c r="T357" s="35"/>
      <c r="U357" s="35"/>
      <c r="AE357" s="65"/>
      <c r="AF357" s="65"/>
      <c r="AG357" s="65"/>
      <c r="AH357" s="65"/>
      <c r="AI357" s="65"/>
      <c r="AJ357" s="65"/>
      <c r="AK357" s="65"/>
      <c r="AL357" s="65"/>
      <c r="AM357" s="65"/>
      <c r="AN357" s="65"/>
      <c r="AO357" s="65"/>
      <c r="AP357" s="65"/>
      <c r="AQ357" s="65"/>
      <c r="AR357" s="65"/>
      <c r="AS357" s="65"/>
      <c r="AT357" s="65"/>
    </row>
    <row r="358" spans="2:46" s="32" customFormat="1" x14ac:dyDescent="0.2">
      <c r="B358" s="44"/>
      <c r="C358" s="44"/>
      <c r="D358" s="35"/>
      <c r="E358" s="35"/>
      <c r="F358" s="35"/>
      <c r="G358" s="35"/>
      <c r="H358" s="35"/>
      <c r="I358" s="35"/>
      <c r="J358" s="35"/>
      <c r="K358" s="35"/>
      <c r="L358" s="35"/>
      <c r="M358" s="35"/>
      <c r="N358" s="35"/>
      <c r="O358" s="35"/>
      <c r="P358" s="35"/>
      <c r="Q358" s="35"/>
      <c r="R358" s="35"/>
      <c r="S358" s="35"/>
      <c r="T358" s="35"/>
      <c r="U358" s="35"/>
      <c r="AE358" s="65"/>
      <c r="AF358" s="65"/>
      <c r="AG358" s="65"/>
      <c r="AH358" s="65"/>
      <c r="AI358" s="65"/>
      <c r="AJ358" s="65"/>
      <c r="AK358" s="65"/>
      <c r="AL358" s="65"/>
      <c r="AM358" s="65"/>
      <c r="AN358" s="65"/>
      <c r="AO358" s="65"/>
      <c r="AP358" s="65"/>
      <c r="AQ358" s="65"/>
      <c r="AR358" s="65"/>
      <c r="AS358" s="65"/>
      <c r="AT358" s="65"/>
    </row>
    <row r="359" spans="2:46" s="32" customFormat="1" x14ac:dyDescent="0.2">
      <c r="B359" s="44"/>
      <c r="C359" s="44"/>
      <c r="D359" s="35"/>
      <c r="E359" s="35"/>
      <c r="F359" s="35"/>
      <c r="G359" s="35"/>
      <c r="H359" s="35"/>
      <c r="I359" s="35"/>
      <c r="J359" s="35"/>
      <c r="K359" s="35"/>
      <c r="L359" s="35"/>
      <c r="M359" s="35"/>
      <c r="N359" s="35"/>
      <c r="O359" s="35"/>
      <c r="P359" s="35"/>
      <c r="Q359" s="35"/>
      <c r="R359" s="35"/>
      <c r="S359" s="35"/>
      <c r="T359" s="35"/>
      <c r="U359" s="35"/>
      <c r="AE359" s="65"/>
      <c r="AF359" s="65"/>
      <c r="AG359" s="65"/>
      <c r="AH359" s="65"/>
      <c r="AI359" s="65"/>
      <c r="AJ359" s="65"/>
      <c r="AK359" s="65"/>
      <c r="AL359" s="65"/>
      <c r="AM359" s="65"/>
      <c r="AN359" s="65"/>
      <c r="AO359" s="65"/>
      <c r="AP359" s="65"/>
      <c r="AQ359" s="65"/>
      <c r="AR359" s="65"/>
      <c r="AS359" s="65"/>
      <c r="AT359" s="65"/>
    </row>
    <row r="360" spans="2:46" s="32" customFormat="1" x14ac:dyDescent="0.2">
      <c r="B360" s="44"/>
      <c r="C360" s="44"/>
      <c r="D360" s="35"/>
      <c r="E360" s="35"/>
      <c r="F360" s="35"/>
      <c r="G360" s="35"/>
      <c r="H360" s="35"/>
      <c r="I360" s="35"/>
      <c r="J360" s="35"/>
      <c r="K360" s="35"/>
      <c r="L360" s="35"/>
      <c r="M360" s="35"/>
      <c r="N360" s="35"/>
      <c r="O360" s="35"/>
      <c r="P360" s="35"/>
      <c r="Q360" s="35"/>
      <c r="R360" s="35"/>
      <c r="S360" s="35"/>
      <c r="T360" s="35"/>
      <c r="U360" s="35"/>
      <c r="AE360" s="65"/>
      <c r="AF360" s="65"/>
      <c r="AG360" s="65"/>
      <c r="AH360" s="65"/>
      <c r="AI360" s="65"/>
      <c r="AJ360" s="65"/>
      <c r="AK360" s="65"/>
      <c r="AL360" s="65"/>
      <c r="AM360" s="65"/>
      <c r="AN360" s="65"/>
      <c r="AO360" s="65"/>
      <c r="AP360" s="65"/>
      <c r="AQ360" s="65"/>
      <c r="AR360" s="65"/>
      <c r="AS360" s="65"/>
      <c r="AT360" s="65"/>
    </row>
    <row r="361" spans="2:46" s="32" customFormat="1" x14ac:dyDescent="0.2">
      <c r="B361" s="44"/>
      <c r="C361" s="44"/>
      <c r="D361" s="35"/>
      <c r="E361" s="35"/>
      <c r="F361" s="35"/>
      <c r="G361" s="35"/>
      <c r="H361" s="35"/>
      <c r="I361" s="35"/>
      <c r="J361" s="35"/>
      <c r="K361" s="35"/>
      <c r="L361" s="35"/>
      <c r="M361" s="35"/>
      <c r="N361" s="35"/>
      <c r="O361" s="35"/>
      <c r="P361" s="35"/>
      <c r="Q361" s="35"/>
      <c r="R361" s="35"/>
      <c r="S361" s="35"/>
      <c r="T361" s="35"/>
      <c r="U361" s="35"/>
      <c r="AE361" s="65"/>
      <c r="AF361" s="65"/>
      <c r="AG361" s="65"/>
      <c r="AH361" s="65"/>
      <c r="AI361" s="65"/>
      <c r="AJ361" s="65"/>
      <c r="AK361" s="65"/>
      <c r="AL361" s="65"/>
      <c r="AM361" s="65"/>
      <c r="AN361" s="65"/>
      <c r="AO361" s="65"/>
      <c r="AP361" s="65"/>
      <c r="AQ361" s="65"/>
      <c r="AR361" s="65"/>
      <c r="AS361" s="65"/>
      <c r="AT361" s="65"/>
    </row>
    <row r="362" spans="2:46" s="32" customFormat="1" x14ac:dyDescent="0.2">
      <c r="B362" s="44"/>
      <c r="C362" s="44"/>
      <c r="D362" s="35"/>
      <c r="E362" s="35"/>
      <c r="F362" s="35"/>
      <c r="G362" s="35"/>
      <c r="H362" s="35"/>
      <c r="I362" s="35"/>
      <c r="J362" s="35"/>
      <c r="K362" s="35"/>
      <c r="L362" s="35"/>
      <c r="M362" s="35"/>
      <c r="N362" s="35"/>
      <c r="O362" s="35"/>
      <c r="P362" s="35"/>
      <c r="Q362" s="35"/>
      <c r="R362" s="35"/>
      <c r="S362" s="35"/>
      <c r="T362" s="35"/>
      <c r="U362" s="35"/>
      <c r="AE362" s="65"/>
      <c r="AF362" s="65"/>
      <c r="AG362" s="65"/>
      <c r="AH362" s="65"/>
      <c r="AI362" s="65"/>
      <c r="AJ362" s="65"/>
      <c r="AK362" s="65"/>
      <c r="AL362" s="65"/>
      <c r="AM362" s="65"/>
      <c r="AN362" s="65"/>
      <c r="AO362" s="65"/>
      <c r="AP362" s="65"/>
      <c r="AQ362" s="65"/>
      <c r="AR362" s="65"/>
      <c r="AS362" s="65"/>
      <c r="AT362" s="65"/>
    </row>
    <row r="363" spans="2:46" s="32" customFormat="1" x14ac:dyDescent="0.2">
      <c r="B363" s="44"/>
      <c r="C363" s="44"/>
      <c r="D363" s="35"/>
      <c r="E363" s="35"/>
      <c r="F363" s="35"/>
      <c r="G363" s="35"/>
      <c r="H363" s="35"/>
      <c r="I363" s="35"/>
      <c r="J363" s="35"/>
      <c r="K363" s="35"/>
      <c r="L363" s="35"/>
      <c r="M363" s="35"/>
      <c r="N363" s="35"/>
      <c r="O363" s="35"/>
      <c r="P363" s="35"/>
      <c r="Q363" s="35"/>
      <c r="R363" s="35"/>
      <c r="S363" s="35"/>
      <c r="T363" s="35"/>
      <c r="U363" s="35"/>
      <c r="AE363" s="65"/>
      <c r="AF363" s="65"/>
      <c r="AG363" s="65"/>
      <c r="AH363" s="65"/>
      <c r="AI363" s="65"/>
      <c r="AJ363" s="65"/>
      <c r="AK363" s="65"/>
      <c r="AL363" s="65"/>
      <c r="AM363" s="65"/>
      <c r="AN363" s="65"/>
      <c r="AO363" s="65"/>
      <c r="AP363" s="65"/>
      <c r="AQ363" s="65"/>
      <c r="AR363" s="65"/>
      <c r="AS363" s="65"/>
      <c r="AT363" s="65"/>
    </row>
    <row r="364" spans="2:46" s="32" customFormat="1" x14ac:dyDescent="0.2">
      <c r="B364" s="44"/>
      <c r="C364" s="44"/>
      <c r="D364" s="35"/>
      <c r="E364" s="35"/>
      <c r="F364" s="35"/>
      <c r="G364" s="35"/>
      <c r="H364" s="35"/>
      <c r="I364" s="35"/>
      <c r="J364" s="35"/>
      <c r="K364" s="35"/>
      <c r="L364" s="35"/>
      <c r="M364" s="35"/>
      <c r="N364" s="35"/>
      <c r="O364" s="35"/>
      <c r="P364" s="35"/>
      <c r="Q364" s="35"/>
      <c r="R364" s="35"/>
      <c r="S364" s="35"/>
      <c r="T364" s="35"/>
      <c r="U364" s="35"/>
      <c r="AE364" s="65"/>
      <c r="AF364" s="65"/>
      <c r="AG364" s="65"/>
      <c r="AH364" s="65"/>
      <c r="AI364" s="65"/>
      <c r="AJ364" s="65"/>
      <c r="AK364" s="65"/>
      <c r="AL364" s="65"/>
      <c r="AM364" s="65"/>
      <c r="AN364" s="65"/>
      <c r="AO364" s="65"/>
      <c r="AP364" s="65"/>
      <c r="AQ364" s="65"/>
      <c r="AR364" s="65"/>
      <c r="AS364" s="65"/>
      <c r="AT364" s="65"/>
    </row>
    <row r="365" spans="2:46" s="32" customFormat="1" x14ac:dyDescent="0.2">
      <c r="B365" s="44"/>
      <c r="C365" s="44"/>
      <c r="D365" s="35"/>
      <c r="E365" s="35"/>
      <c r="F365" s="35"/>
      <c r="G365" s="35"/>
      <c r="H365" s="35"/>
      <c r="I365" s="35"/>
      <c r="J365" s="35"/>
      <c r="K365" s="35"/>
      <c r="L365" s="35"/>
      <c r="M365" s="35"/>
      <c r="N365" s="35"/>
      <c r="O365" s="35"/>
      <c r="P365" s="35"/>
      <c r="Q365" s="35"/>
      <c r="R365" s="35"/>
      <c r="S365" s="35"/>
      <c r="T365" s="35"/>
      <c r="U365" s="35"/>
      <c r="AE365" s="65"/>
      <c r="AF365" s="65"/>
      <c r="AG365" s="65"/>
      <c r="AH365" s="65"/>
      <c r="AI365" s="65"/>
      <c r="AJ365" s="65"/>
      <c r="AK365" s="65"/>
      <c r="AL365" s="65"/>
      <c r="AM365" s="65"/>
      <c r="AN365" s="65"/>
      <c r="AO365" s="65"/>
      <c r="AP365" s="65"/>
      <c r="AQ365" s="65"/>
      <c r="AR365" s="65"/>
      <c r="AS365" s="65"/>
      <c r="AT365" s="65"/>
    </row>
    <row r="366" spans="2:46" s="32" customFormat="1" x14ac:dyDescent="0.2">
      <c r="B366" s="44"/>
      <c r="C366" s="44"/>
      <c r="D366" s="35"/>
      <c r="E366" s="35"/>
      <c r="F366" s="35"/>
      <c r="G366" s="35"/>
      <c r="H366" s="35"/>
      <c r="I366" s="35"/>
      <c r="J366" s="35"/>
      <c r="K366" s="35"/>
      <c r="L366" s="35"/>
      <c r="M366" s="35"/>
      <c r="N366" s="35"/>
      <c r="O366" s="35"/>
      <c r="P366" s="35"/>
      <c r="Q366" s="35"/>
      <c r="R366" s="35"/>
      <c r="S366" s="35"/>
      <c r="T366" s="35"/>
      <c r="U366" s="35"/>
      <c r="AE366" s="65"/>
      <c r="AF366" s="65"/>
      <c r="AG366" s="65"/>
      <c r="AH366" s="65"/>
      <c r="AI366" s="65"/>
      <c r="AJ366" s="65"/>
      <c r="AK366" s="65"/>
      <c r="AL366" s="65"/>
      <c r="AM366" s="65"/>
      <c r="AN366" s="65"/>
      <c r="AO366" s="65"/>
      <c r="AP366" s="65"/>
      <c r="AQ366" s="65"/>
      <c r="AR366" s="65"/>
      <c r="AS366" s="65"/>
      <c r="AT366" s="65"/>
    </row>
    <row r="367" spans="2:46" s="32" customFormat="1" x14ac:dyDescent="0.2">
      <c r="B367" s="44"/>
      <c r="C367" s="44"/>
      <c r="D367" s="35"/>
      <c r="E367" s="35"/>
      <c r="F367" s="35"/>
      <c r="G367" s="35"/>
      <c r="H367" s="35"/>
      <c r="I367" s="35"/>
      <c r="J367" s="35"/>
      <c r="K367" s="35"/>
      <c r="L367" s="35"/>
      <c r="M367" s="35"/>
      <c r="N367" s="35"/>
      <c r="O367" s="35"/>
      <c r="P367" s="35"/>
      <c r="Q367" s="35"/>
      <c r="R367" s="35"/>
      <c r="S367" s="35"/>
      <c r="T367" s="35"/>
      <c r="U367" s="35"/>
      <c r="AE367" s="65"/>
      <c r="AF367" s="65"/>
      <c r="AG367" s="65"/>
      <c r="AH367" s="65"/>
      <c r="AI367" s="65"/>
      <c r="AJ367" s="65"/>
      <c r="AK367" s="65"/>
      <c r="AL367" s="65"/>
      <c r="AM367" s="65"/>
      <c r="AN367" s="65"/>
      <c r="AO367" s="65"/>
      <c r="AP367" s="65"/>
      <c r="AQ367" s="65"/>
      <c r="AR367" s="65"/>
      <c r="AS367" s="65"/>
      <c r="AT367" s="65"/>
    </row>
    <row r="368" spans="2:46" s="32" customFormat="1" x14ac:dyDescent="0.2">
      <c r="B368" s="44"/>
      <c r="C368" s="44"/>
      <c r="D368" s="35"/>
      <c r="E368" s="35"/>
      <c r="F368" s="35"/>
      <c r="G368" s="35"/>
      <c r="H368" s="35"/>
      <c r="I368" s="35"/>
      <c r="J368" s="35"/>
      <c r="K368" s="35"/>
      <c r="L368" s="35"/>
      <c r="M368" s="35"/>
      <c r="N368" s="35"/>
      <c r="O368" s="35"/>
      <c r="P368" s="35"/>
      <c r="Q368" s="35"/>
      <c r="R368" s="35"/>
      <c r="S368" s="35"/>
      <c r="T368" s="35"/>
      <c r="U368" s="35"/>
      <c r="AE368" s="65"/>
      <c r="AF368" s="65"/>
      <c r="AG368" s="65"/>
      <c r="AH368" s="65"/>
      <c r="AI368" s="65"/>
      <c r="AJ368" s="65"/>
      <c r="AK368" s="65"/>
      <c r="AL368" s="65"/>
      <c r="AM368" s="65"/>
      <c r="AN368" s="65"/>
      <c r="AO368" s="65"/>
      <c r="AP368" s="65"/>
      <c r="AQ368" s="65"/>
      <c r="AR368" s="65"/>
      <c r="AS368" s="65"/>
      <c r="AT368" s="65"/>
    </row>
    <row r="369" spans="2:46" s="32" customFormat="1" x14ac:dyDescent="0.2">
      <c r="B369" s="44"/>
      <c r="C369" s="44"/>
      <c r="D369" s="35"/>
      <c r="E369" s="35"/>
      <c r="F369" s="35"/>
      <c r="G369" s="35"/>
      <c r="H369" s="35"/>
      <c r="I369" s="35"/>
      <c r="J369" s="35"/>
      <c r="K369" s="35"/>
      <c r="L369" s="35"/>
      <c r="M369" s="35"/>
      <c r="N369" s="35"/>
      <c r="O369" s="35"/>
      <c r="P369" s="35"/>
      <c r="Q369" s="35"/>
      <c r="R369" s="35"/>
      <c r="S369" s="35"/>
      <c r="T369" s="35"/>
      <c r="U369" s="35"/>
      <c r="AE369" s="65"/>
      <c r="AF369" s="65"/>
      <c r="AG369" s="65"/>
      <c r="AH369" s="65"/>
      <c r="AI369" s="65"/>
      <c r="AJ369" s="65"/>
      <c r="AK369" s="65"/>
      <c r="AL369" s="65"/>
      <c r="AM369" s="65"/>
      <c r="AN369" s="65"/>
      <c r="AO369" s="65"/>
      <c r="AP369" s="65"/>
      <c r="AQ369" s="65"/>
      <c r="AR369" s="65"/>
      <c r="AS369" s="65"/>
      <c r="AT369" s="65"/>
    </row>
    <row r="370" spans="2:46" s="32" customFormat="1" x14ac:dyDescent="0.2">
      <c r="B370" s="44"/>
      <c r="C370" s="44"/>
      <c r="D370" s="35"/>
      <c r="E370" s="35"/>
      <c r="F370" s="35"/>
      <c r="G370" s="35"/>
      <c r="H370" s="35"/>
      <c r="I370" s="35"/>
      <c r="J370" s="35"/>
      <c r="K370" s="35"/>
      <c r="L370" s="35"/>
      <c r="M370" s="35"/>
      <c r="N370" s="35"/>
      <c r="O370" s="35"/>
      <c r="P370" s="35"/>
      <c r="Q370" s="35"/>
      <c r="R370" s="35"/>
      <c r="S370" s="35"/>
      <c r="T370" s="35"/>
      <c r="U370" s="35"/>
      <c r="AE370" s="65"/>
      <c r="AF370" s="65"/>
      <c r="AG370" s="65"/>
      <c r="AH370" s="65"/>
      <c r="AI370" s="65"/>
      <c r="AJ370" s="65"/>
      <c r="AK370" s="65"/>
      <c r="AL370" s="65"/>
      <c r="AM370" s="65"/>
      <c r="AN370" s="65"/>
      <c r="AO370" s="65"/>
      <c r="AP370" s="65"/>
      <c r="AQ370" s="65"/>
      <c r="AR370" s="65"/>
      <c r="AS370" s="65"/>
      <c r="AT370" s="65"/>
    </row>
    <row r="371" spans="2:46" s="32" customFormat="1" x14ac:dyDescent="0.2">
      <c r="B371" s="44"/>
      <c r="C371" s="44"/>
      <c r="D371" s="35"/>
      <c r="E371" s="35"/>
      <c r="F371" s="35"/>
      <c r="G371" s="35"/>
      <c r="H371" s="35"/>
      <c r="I371" s="35"/>
      <c r="J371" s="35"/>
      <c r="K371" s="35"/>
      <c r="L371" s="35"/>
      <c r="M371" s="35"/>
      <c r="N371" s="35"/>
      <c r="O371" s="35"/>
      <c r="P371" s="35"/>
      <c r="Q371" s="35"/>
      <c r="R371" s="35"/>
      <c r="S371" s="35"/>
      <c r="T371" s="35"/>
      <c r="U371" s="35"/>
      <c r="AE371" s="65"/>
      <c r="AF371" s="65"/>
      <c r="AG371" s="65"/>
      <c r="AH371" s="65"/>
      <c r="AI371" s="65"/>
      <c r="AJ371" s="65"/>
      <c r="AK371" s="65"/>
      <c r="AL371" s="65"/>
      <c r="AM371" s="65"/>
      <c r="AN371" s="65"/>
      <c r="AO371" s="65"/>
      <c r="AP371" s="65"/>
      <c r="AQ371" s="65"/>
      <c r="AR371" s="65"/>
      <c r="AS371" s="65"/>
      <c r="AT371" s="65"/>
    </row>
    <row r="372" spans="2:46" s="32" customFormat="1" x14ac:dyDescent="0.2">
      <c r="B372" s="44"/>
      <c r="C372" s="44"/>
      <c r="D372" s="35"/>
      <c r="E372" s="35"/>
      <c r="F372" s="35"/>
      <c r="G372" s="35"/>
      <c r="H372" s="35"/>
      <c r="I372" s="35"/>
      <c r="J372" s="35"/>
      <c r="K372" s="35"/>
      <c r="L372" s="35"/>
      <c r="M372" s="35"/>
      <c r="N372" s="35"/>
      <c r="O372" s="35"/>
      <c r="P372" s="35"/>
      <c r="Q372" s="35"/>
      <c r="R372" s="35"/>
      <c r="S372" s="35"/>
      <c r="T372" s="35"/>
      <c r="U372" s="35"/>
      <c r="AE372" s="65"/>
      <c r="AF372" s="65"/>
      <c r="AG372" s="65"/>
      <c r="AH372" s="65"/>
      <c r="AI372" s="65"/>
      <c r="AJ372" s="65"/>
      <c r="AK372" s="65"/>
      <c r="AL372" s="65"/>
      <c r="AM372" s="65"/>
      <c r="AN372" s="65"/>
      <c r="AO372" s="65"/>
      <c r="AP372" s="65"/>
      <c r="AQ372" s="65"/>
      <c r="AR372" s="65"/>
      <c r="AS372" s="65"/>
      <c r="AT372" s="65"/>
    </row>
    <row r="373" spans="2:46" s="32" customFormat="1" x14ac:dyDescent="0.2">
      <c r="B373" s="44"/>
      <c r="C373" s="44"/>
      <c r="D373" s="35"/>
      <c r="E373" s="35"/>
      <c r="F373" s="35"/>
      <c r="G373" s="35"/>
      <c r="H373" s="35"/>
      <c r="I373" s="35"/>
      <c r="J373" s="35"/>
      <c r="K373" s="35"/>
      <c r="L373" s="35"/>
      <c r="M373" s="35"/>
      <c r="N373" s="35"/>
      <c r="O373" s="35"/>
      <c r="P373" s="35"/>
      <c r="Q373" s="35"/>
      <c r="R373" s="35"/>
      <c r="S373" s="35"/>
      <c r="T373" s="35"/>
      <c r="U373" s="35"/>
      <c r="AE373" s="65"/>
      <c r="AF373" s="65"/>
      <c r="AG373" s="65"/>
      <c r="AH373" s="65"/>
      <c r="AI373" s="65"/>
      <c r="AJ373" s="65"/>
      <c r="AK373" s="65"/>
      <c r="AL373" s="65"/>
      <c r="AM373" s="65"/>
      <c r="AN373" s="65"/>
      <c r="AO373" s="65"/>
      <c r="AP373" s="65"/>
      <c r="AQ373" s="65"/>
      <c r="AR373" s="65"/>
      <c r="AS373" s="65"/>
      <c r="AT373" s="65"/>
    </row>
    <row r="374" spans="2:46" s="32" customFormat="1" x14ac:dyDescent="0.2">
      <c r="B374" s="44"/>
      <c r="C374" s="44"/>
      <c r="D374" s="35"/>
      <c r="E374" s="35"/>
      <c r="F374" s="35"/>
      <c r="G374" s="35"/>
      <c r="H374" s="35"/>
      <c r="I374" s="35"/>
      <c r="J374" s="35"/>
      <c r="K374" s="35"/>
      <c r="L374" s="35"/>
      <c r="M374" s="35"/>
      <c r="N374" s="35"/>
      <c r="O374" s="35"/>
      <c r="P374" s="35"/>
      <c r="Q374" s="35"/>
      <c r="R374" s="35"/>
      <c r="S374" s="35"/>
      <c r="T374" s="35"/>
      <c r="U374" s="35"/>
      <c r="AE374" s="65"/>
      <c r="AF374" s="65"/>
      <c r="AG374" s="65"/>
      <c r="AH374" s="65"/>
      <c r="AI374" s="65"/>
      <c r="AJ374" s="65"/>
      <c r="AK374" s="65"/>
      <c r="AL374" s="65"/>
      <c r="AM374" s="65"/>
      <c r="AN374" s="65"/>
      <c r="AO374" s="65"/>
      <c r="AP374" s="65"/>
      <c r="AQ374" s="65"/>
      <c r="AR374" s="65"/>
      <c r="AS374" s="65"/>
      <c r="AT374" s="65"/>
    </row>
    <row r="375" spans="2:46" s="32" customFormat="1" x14ac:dyDescent="0.2">
      <c r="B375" s="44"/>
      <c r="C375" s="44"/>
      <c r="D375" s="35"/>
      <c r="E375" s="35"/>
      <c r="F375" s="35"/>
      <c r="G375" s="35"/>
      <c r="H375" s="35"/>
      <c r="I375" s="35"/>
      <c r="J375" s="35"/>
      <c r="K375" s="35"/>
      <c r="L375" s="35"/>
      <c r="M375" s="35"/>
      <c r="N375" s="35"/>
      <c r="O375" s="35"/>
      <c r="P375" s="35"/>
      <c r="Q375" s="35"/>
      <c r="R375" s="35"/>
      <c r="S375" s="35"/>
      <c r="T375" s="35"/>
      <c r="U375" s="35"/>
      <c r="AE375" s="65"/>
      <c r="AF375" s="65"/>
      <c r="AG375" s="65"/>
      <c r="AH375" s="65"/>
      <c r="AI375" s="65"/>
      <c r="AJ375" s="65"/>
      <c r="AK375" s="65"/>
      <c r="AL375" s="65"/>
      <c r="AM375" s="65"/>
      <c r="AN375" s="65"/>
      <c r="AO375" s="65"/>
      <c r="AP375" s="65"/>
      <c r="AQ375" s="65"/>
      <c r="AR375" s="65"/>
      <c r="AS375" s="65"/>
      <c r="AT375" s="65"/>
    </row>
    <row r="376" spans="2:46" s="32" customFormat="1" x14ac:dyDescent="0.2">
      <c r="B376" s="44"/>
      <c r="C376" s="44"/>
      <c r="D376" s="35"/>
      <c r="E376" s="35"/>
      <c r="F376" s="35"/>
      <c r="G376" s="35"/>
      <c r="H376" s="35"/>
      <c r="I376" s="35"/>
      <c r="J376" s="35"/>
      <c r="K376" s="35"/>
      <c r="L376" s="35"/>
      <c r="M376" s="35"/>
      <c r="N376" s="35"/>
      <c r="O376" s="35"/>
      <c r="P376" s="35"/>
      <c r="Q376" s="35"/>
      <c r="R376" s="35"/>
      <c r="S376" s="35"/>
      <c r="T376" s="35"/>
      <c r="U376" s="35"/>
      <c r="AE376" s="65"/>
      <c r="AF376" s="65"/>
      <c r="AG376" s="65"/>
      <c r="AH376" s="65"/>
      <c r="AI376" s="65"/>
      <c r="AJ376" s="65"/>
      <c r="AK376" s="65"/>
      <c r="AL376" s="65"/>
      <c r="AM376" s="65"/>
      <c r="AN376" s="65"/>
      <c r="AO376" s="65"/>
      <c r="AP376" s="65"/>
      <c r="AQ376" s="65"/>
      <c r="AR376" s="65"/>
      <c r="AS376" s="65"/>
      <c r="AT376" s="65"/>
    </row>
    <row r="377" spans="2:46" s="32" customFormat="1" x14ac:dyDescent="0.2">
      <c r="B377" s="44"/>
      <c r="C377" s="44"/>
      <c r="D377" s="35"/>
      <c r="E377" s="35"/>
      <c r="F377" s="35"/>
      <c r="G377" s="35"/>
      <c r="H377" s="35"/>
      <c r="I377" s="35"/>
      <c r="J377" s="35"/>
      <c r="K377" s="35"/>
      <c r="L377" s="35"/>
      <c r="M377" s="35"/>
      <c r="N377" s="35"/>
      <c r="O377" s="35"/>
      <c r="P377" s="35"/>
      <c r="Q377" s="35"/>
      <c r="R377" s="35"/>
      <c r="S377" s="35"/>
      <c r="T377" s="35"/>
      <c r="U377" s="35"/>
      <c r="AE377" s="65"/>
      <c r="AF377" s="65"/>
      <c r="AG377" s="65"/>
      <c r="AH377" s="65"/>
      <c r="AI377" s="65"/>
      <c r="AJ377" s="65"/>
      <c r="AK377" s="65"/>
      <c r="AL377" s="65"/>
      <c r="AM377" s="65"/>
      <c r="AN377" s="65"/>
      <c r="AO377" s="65"/>
      <c r="AP377" s="65"/>
      <c r="AQ377" s="65"/>
      <c r="AR377" s="65"/>
      <c r="AS377" s="65"/>
      <c r="AT377" s="65"/>
    </row>
    <row r="378" spans="2:46" s="32" customFormat="1" x14ac:dyDescent="0.2">
      <c r="B378" s="44"/>
      <c r="C378" s="44"/>
      <c r="D378" s="35"/>
      <c r="E378" s="35"/>
      <c r="F378" s="35"/>
      <c r="G378" s="35"/>
      <c r="H378" s="35"/>
      <c r="I378" s="35"/>
      <c r="J378" s="35"/>
      <c r="K378" s="35"/>
      <c r="L378" s="35"/>
      <c r="M378" s="35"/>
      <c r="N378" s="35"/>
      <c r="O378" s="35"/>
      <c r="P378" s="35"/>
      <c r="Q378" s="35"/>
      <c r="R378" s="35"/>
      <c r="S378" s="35"/>
      <c r="T378" s="35"/>
      <c r="U378" s="35"/>
      <c r="AE378" s="65"/>
      <c r="AF378" s="65"/>
      <c r="AG378" s="65"/>
      <c r="AH378" s="65"/>
      <c r="AI378" s="65"/>
      <c r="AJ378" s="65"/>
      <c r="AK378" s="65"/>
      <c r="AL378" s="65"/>
      <c r="AM378" s="65"/>
      <c r="AN378" s="65"/>
      <c r="AO378" s="65"/>
      <c r="AP378" s="65"/>
      <c r="AQ378" s="65"/>
      <c r="AR378" s="65"/>
      <c r="AS378" s="65"/>
      <c r="AT378" s="65"/>
    </row>
    <row r="379" spans="2:46" s="32" customFormat="1" x14ac:dyDescent="0.2">
      <c r="B379" s="44"/>
      <c r="C379" s="44"/>
      <c r="D379" s="35"/>
      <c r="E379" s="35"/>
      <c r="F379" s="35"/>
      <c r="G379" s="35"/>
      <c r="H379" s="35"/>
      <c r="I379" s="35"/>
      <c r="J379" s="35"/>
      <c r="K379" s="35"/>
      <c r="L379" s="35"/>
      <c r="M379" s="35"/>
      <c r="N379" s="35"/>
      <c r="O379" s="35"/>
      <c r="P379" s="35"/>
      <c r="Q379" s="35"/>
      <c r="R379" s="35"/>
      <c r="S379" s="35"/>
      <c r="T379" s="35"/>
      <c r="U379" s="35"/>
      <c r="AE379" s="65"/>
      <c r="AF379" s="65"/>
      <c r="AG379" s="65"/>
      <c r="AH379" s="65"/>
      <c r="AI379" s="65"/>
      <c r="AJ379" s="65"/>
      <c r="AK379" s="65"/>
      <c r="AL379" s="65"/>
      <c r="AM379" s="65"/>
      <c r="AN379" s="65"/>
      <c r="AO379" s="65"/>
      <c r="AP379" s="65"/>
      <c r="AQ379" s="65"/>
      <c r="AR379" s="65"/>
      <c r="AS379" s="65"/>
      <c r="AT379" s="65"/>
    </row>
    <row r="380" spans="2:46" s="32" customFormat="1" x14ac:dyDescent="0.2">
      <c r="B380" s="44"/>
      <c r="C380" s="44"/>
      <c r="D380" s="35"/>
      <c r="E380" s="35"/>
      <c r="F380" s="35"/>
      <c r="G380" s="35"/>
      <c r="H380" s="35"/>
      <c r="I380" s="35"/>
      <c r="J380" s="35"/>
      <c r="K380" s="35"/>
      <c r="L380" s="35"/>
      <c r="M380" s="35"/>
      <c r="N380" s="35"/>
      <c r="O380" s="35"/>
      <c r="P380" s="35"/>
      <c r="Q380" s="35"/>
      <c r="R380" s="35"/>
      <c r="S380" s="35"/>
      <c r="T380" s="35"/>
      <c r="U380" s="35"/>
      <c r="AE380" s="65"/>
      <c r="AF380" s="65"/>
      <c r="AG380" s="65"/>
      <c r="AH380" s="65"/>
      <c r="AI380" s="65"/>
      <c r="AJ380" s="65"/>
      <c r="AK380" s="65"/>
      <c r="AL380" s="65"/>
      <c r="AM380" s="65"/>
      <c r="AN380" s="65"/>
      <c r="AO380" s="65"/>
      <c r="AP380" s="65"/>
      <c r="AQ380" s="65"/>
      <c r="AR380" s="65"/>
      <c r="AS380" s="65"/>
      <c r="AT380" s="65"/>
    </row>
    <row r="381" spans="2:46" s="32" customFormat="1" x14ac:dyDescent="0.2">
      <c r="B381" s="44"/>
      <c r="C381" s="44"/>
      <c r="D381" s="35"/>
      <c r="E381" s="35"/>
      <c r="F381" s="35"/>
      <c r="G381" s="35"/>
      <c r="H381" s="35"/>
      <c r="I381" s="35"/>
      <c r="J381" s="35"/>
      <c r="K381" s="35"/>
      <c r="L381" s="35"/>
      <c r="M381" s="35"/>
      <c r="N381" s="35"/>
      <c r="O381" s="35"/>
      <c r="P381" s="35"/>
      <c r="Q381" s="35"/>
      <c r="R381" s="35"/>
      <c r="S381" s="35"/>
      <c r="T381" s="35"/>
      <c r="U381" s="35"/>
      <c r="AE381" s="65"/>
      <c r="AF381" s="65"/>
      <c r="AG381" s="65"/>
      <c r="AH381" s="65"/>
      <c r="AI381" s="65"/>
      <c r="AJ381" s="65"/>
      <c r="AK381" s="65"/>
      <c r="AL381" s="65"/>
      <c r="AM381" s="65"/>
      <c r="AN381" s="65"/>
      <c r="AO381" s="65"/>
      <c r="AP381" s="65"/>
      <c r="AQ381" s="65"/>
      <c r="AR381" s="65"/>
      <c r="AS381" s="65"/>
      <c r="AT381" s="65"/>
    </row>
    <row r="382" spans="2:46" s="32" customFormat="1" x14ac:dyDescent="0.2">
      <c r="B382" s="44"/>
      <c r="C382" s="44"/>
      <c r="D382" s="35"/>
      <c r="E382" s="35"/>
      <c r="F382" s="35"/>
      <c r="G382" s="35"/>
      <c r="H382" s="35"/>
      <c r="I382" s="35"/>
      <c r="J382" s="35"/>
      <c r="K382" s="35"/>
      <c r="L382" s="35"/>
      <c r="M382" s="35"/>
      <c r="N382" s="35"/>
      <c r="O382" s="35"/>
      <c r="P382" s="35"/>
      <c r="Q382" s="35"/>
      <c r="R382" s="35"/>
      <c r="S382" s="35"/>
      <c r="T382" s="35"/>
      <c r="U382" s="35"/>
      <c r="AE382" s="65"/>
      <c r="AF382" s="65"/>
      <c r="AG382" s="65"/>
      <c r="AH382" s="65"/>
      <c r="AI382" s="65"/>
      <c r="AJ382" s="65"/>
      <c r="AK382" s="65"/>
      <c r="AL382" s="65"/>
      <c r="AM382" s="65"/>
      <c r="AN382" s="65"/>
      <c r="AO382" s="65"/>
      <c r="AP382" s="65"/>
      <c r="AQ382" s="65"/>
      <c r="AR382" s="65"/>
      <c r="AS382" s="65"/>
      <c r="AT382" s="65"/>
    </row>
    <row r="383" spans="2:46" s="32" customFormat="1" x14ac:dyDescent="0.2">
      <c r="B383" s="44"/>
      <c r="C383" s="44"/>
      <c r="D383" s="35"/>
      <c r="E383" s="35"/>
      <c r="F383" s="35"/>
      <c r="G383" s="35"/>
      <c r="H383" s="35"/>
      <c r="I383" s="35"/>
      <c r="J383" s="35"/>
      <c r="K383" s="35"/>
      <c r="L383" s="35"/>
      <c r="M383" s="35"/>
      <c r="N383" s="35"/>
      <c r="O383" s="35"/>
      <c r="P383" s="35"/>
      <c r="Q383" s="35"/>
      <c r="R383" s="35"/>
      <c r="S383" s="35"/>
      <c r="T383" s="35"/>
      <c r="U383" s="35"/>
      <c r="AE383" s="65"/>
      <c r="AF383" s="65"/>
      <c r="AG383" s="65"/>
      <c r="AH383" s="65"/>
      <c r="AI383" s="65"/>
      <c r="AJ383" s="65"/>
      <c r="AK383" s="65"/>
      <c r="AL383" s="65"/>
      <c r="AM383" s="65"/>
      <c r="AN383" s="65"/>
      <c r="AO383" s="65"/>
      <c r="AP383" s="65"/>
      <c r="AQ383" s="65"/>
      <c r="AR383" s="65"/>
      <c r="AS383" s="65"/>
      <c r="AT383" s="65"/>
    </row>
    <row r="384" spans="2:46" s="32" customFormat="1" x14ac:dyDescent="0.2">
      <c r="B384" s="44"/>
      <c r="C384" s="44"/>
      <c r="D384" s="35"/>
      <c r="E384" s="35"/>
      <c r="F384" s="35"/>
      <c r="G384" s="35"/>
      <c r="H384" s="35"/>
      <c r="I384" s="35"/>
      <c r="J384" s="35"/>
      <c r="K384" s="35"/>
      <c r="L384" s="35"/>
      <c r="M384" s="35"/>
      <c r="N384" s="35"/>
      <c r="O384" s="35"/>
      <c r="P384" s="35"/>
      <c r="Q384" s="35"/>
      <c r="R384" s="35"/>
      <c r="S384" s="35"/>
      <c r="T384" s="35"/>
      <c r="U384" s="35"/>
      <c r="AE384" s="65"/>
      <c r="AF384" s="65"/>
      <c r="AG384" s="65"/>
      <c r="AH384" s="65"/>
      <c r="AI384" s="65"/>
      <c r="AJ384" s="65"/>
      <c r="AK384" s="65"/>
      <c r="AL384" s="65"/>
      <c r="AM384" s="65"/>
      <c r="AN384" s="65"/>
      <c r="AO384" s="65"/>
      <c r="AP384" s="65"/>
      <c r="AQ384" s="65"/>
      <c r="AR384" s="65"/>
      <c r="AS384" s="65"/>
      <c r="AT384" s="65"/>
    </row>
    <row r="385" spans="2:46" s="32" customFormat="1" x14ac:dyDescent="0.2">
      <c r="B385" s="44"/>
      <c r="C385" s="44"/>
      <c r="D385" s="35"/>
      <c r="E385" s="35"/>
      <c r="F385" s="35"/>
      <c r="G385" s="35"/>
      <c r="H385" s="35"/>
      <c r="I385" s="35"/>
      <c r="J385" s="35"/>
      <c r="K385" s="35"/>
      <c r="L385" s="35"/>
      <c r="M385" s="35"/>
      <c r="N385" s="35"/>
      <c r="O385" s="35"/>
      <c r="P385" s="35"/>
      <c r="Q385" s="35"/>
      <c r="R385" s="35"/>
      <c r="S385" s="35"/>
      <c r="T385" s="35"/>
      <c r="U385" s="35"/>
      <c r="AE385" s="65"/>
      <c r="AF385" s="65"/>
      <c r="AG385" s="65"/>
      <c r="AH385" s="65"/>
      <c r="AI385" s="65"/>
      <c r="AJ385" s="65"/>
      <c r="AK385" s="65"/>
      <c r="AL385" s="65"/>
      <c r="AM385" s="65"/>
      <c r="AN385" s="65"/>
      <c r="AO385" s="65"/>
      <c r="AP385" s="65"/>
      <c r="AQ385" s="65"/>
      <c r="AR385" s="65"/>
      <c r="AS385" s="65"/>
      <c r="AT385" s="65"/>
    </row>
    <row r="386" spans="2:46" s="32" customFormat="1" x14ac:dyDescent="0.2">
      <c r="B386" s="44"/>
      <c r="C386" s="44"/>
      <c r="D386" s="35"/>
      <c r="E386" s="35"/>
      <c r="F386" s="35"/>
      <c r="G386" s="35"/>
      <c r="H386" s="35"/>
      <c r="I386" s="35"/>
      <c r="J386" s="35"/>
      <c r="K386" s="35"/>
      <c r="L386" s="35"/>
      <c r="M386" s="35"/>
      <c r="N386" s="35"/>
      <c r="O386" s="35"/>
      <c r="P386" s="35"/>
      <c r="Q386" s="35"/>
      <c r="R386" s="35"/>
      <c r="S386" s="35"/>
      <c r="T386" s="35"/>
      <c r="U386" s="35"/>
      <c r="AE386" s="65"/>
      <c r="AF386" s="65"/>
      <c r="AG386" s="65"/>
      <c r="AH386" s="65"/>
      <c r="AI386" s="65"/>
      <c r="AJ386" s="65"/>
      <c r="AK386" s="65"/>
      <c r="AL386" s="65"/>
      <c r="AM386" s="65"/>
      <c r="AN386" s="65"/>
      <c r="AO386" s="65"/>
      <c r="AP386" s="65"/>
      <c r="AQ386" s="65"/>
      <c r="AR386" s="65"/>
      <c r="AS386" s="65"/>
      <c r="AT386" s="65"/>
    </row>
    <row r="387" spans="2:46" s="32" customFormat="1" x14ac:dyDescent="0.2">
      <c r="B387" s="44"/>
      <c r="C387" s="44"/>
      <c r="D387" s="35"/>
      <c r="E387" s="35"/>
      <c r="F387" s="35"/>
      <c r="G387" s="35"/>
      <c r="H387" s="35"/>
      <c r="I387" s="35"/>
      <c r="J387" s="35"/>
      <c r="K387" s="35"/>
      <c r="L387" s="35"/>
      <c r="M387" s="35"/>
      <c r="N387" s="35"/>
      <c r="O387" s="35"/>
      <c r="P387" s="35"/>
      <c r="Q387" s="35"/>
      <c r="R387" s="35"/>
      <c r="S387" s="35"/>
      <c r="T387" s="35"/>
      <c r="U387" s="35"/>
      <c r="AE387" s="65"/>
      <c r="AF387" s="65"/>
      <c r="AG387" s="65"/>
      <c r="AH387" s="65"/>
      <c r="AI387" s="65"/>
      <c r="AJ387" s="65"/>
      <c r="AK387" s="65"/>
      <c r="AL387" s="65"/>
      <c r="AM387" s="65"/>
      <c r="AN387" s="65"/>
      <c r="AO387" s="65"/>
      <c r="AP387" s="65"/>
      <c r="AQ387" s="65"/>
      <c r="AR387" s="65"/>
      <c r="AS387" s="65"/>
      <c r="AT387" s="65"/>
    </row>
    <row r="388" spans="2:46" s="32" customFormat="1" x14ac:dyDescent="0.2">
      <c r="B388" s="44"/>
      <c r="C388" s="44"/>
      <c r="D388" s="35"/>
      <c r="E388" s="35"/>
      <c r="F388" s="35"/>
      <c r="G388" s="35"/>
      <c r="H388" s="35"/>
      <c r="I388" s="35"/>
      <c r="J388" s="35"/>
      <c r="K388" s="35"/>
      <c r="L388" s="35"/>
      <c r="M388" s="35"/>
      <c r="N388" s="35"/>
      <c r="O388" s="35"/>
      <c r="P388" s="35"/>
      <c r="Q388" s="35"/>
      <c r="R388" s="35"/>
      <c r="S388" s="35"/>
      <c r="T388" s="35"/>
      <c r="U388" s="35"/>
      <c r="AE388" s="65"/>
      <c r="AF388" s="65"/>
      <c r="AG388" s="65"/>
      <c r="AH388" s="65"/>
      <c r="AI388" s="65"/>
      <c r="AJ388" s="65"/>
      <c r="AK388" s="65"/>
      <c r="AL388" s="65"/>
      <c r="AM388" s="65"/>
      <c r="AN388" s="65"/>
      <c r="AO388" s="65"/>
      <c r="AP388" s="65"/>
      <c r="AQ388" s="65"/>
      <c r="AR388" s="65"/>
      <c r="AS388" s="65"/>
      <c r="AT388" s="65"/>
    </row>
    <row r="389" spans="2:46" s="32" customFormat="1" x14ac:dyDescent="0.2">
      <c r="B389" s="44"/>
      <c r="C389" s="44"/>
      <c r="D389" s="35"/>
      <c r="E389" s="35"/>
      <c r="F389" s="35"/>
      <c r="G389" s="35"/>
      <c r="H389" s="35"/>
      <c r="I389" s="35"/>
      <c r="J389" s="35"/>
      <c r="K389" s="35"/>
      <c r="L389" s="35"/>
      <c r="M389" s="35"/>
      <c r="N389" s="35"/>
      <c r="O389" s="35"/>
      <c r="P389" s="35"/>
      <c r="Q389" s="35"/>
      <c r="R389" s="35"/>
      <c r="S389" s="35"/>
      <c r="T389" s="35"/>
      <c r="U389" s="35"/>
      <c r="AE389" s="65"/>
      <c r="AF389" s="65"/>
      <c r="AG389" s="65"/>
      <c r="AH389" s="65"/>
      <c r="AI389" s="65"/>
      <c r="AJ389" s="65"/>
      <c r="AK389" s="65"/>
      <c r="AL389" s="65"/>
      <c r="AM389" s="65"/>
      <c r="AN389" s="65"/>
      <c r="AO389" s="65"/>
      <c r="AP389" s="65"/>
      <c r="AQ389" s="65"/>
      <c r="AR389" s="65"/>
      <c r="AS389" s="65"/>
      <c r="AT389" s="65"/>
    </row>
    <row r="390" spans="2:46" s="32" customFormat="1" x14ac:dyDescent="0.2">
      <c r="B390" s="44"/>
      <c r="C390" s="44"/>
      <c r="D390" s="35"/>
      <c r="E390" s="35"/>
      <c r="F390" s="35"/>
      <c r="G390" s="35"/>
      <c r="H390" s="35"/>
      <c r="I390" s="35"/>
      <c r="J390" s="35"/>
      <c r="K390" s="35"/>
      <c r="L390" s="35"/>
      <c r="M390" s="35"/>
      <c r="N390" s="35"/>
      <c r="O390" s="35"/>
      <c r="P390" s="35"/>
      <c r="Q390" s="35"/>
      <c r="R390" s="35"/>
      <c r="S390" s="35"/>
      <c r="T390" s="35"/>
      <c r="U390" s="35"/>
      <c r="AE390" s="65"/>
      <c r="AF390" s="65"/>
      <c r="AG390" s="65"/>
      <c r="AH390" s="65"/>
      <c r="AI390" s="65"/>
      <c r="AJ390" s="65"/>
      <c r="AK390" s="65"/>
      <c r="AL390" s="65"/>
      <c r="AM390" s="65"/>
      <c r="AN390" s="65"/>
      <c r="AO390" s="65"/>
      <c r="AP390" s="65"/>
      <c r="AQ390" s="65"/>
      <c r="AR390" s="65"/>
      <c r="AS390" s="65"/>
      <c r="AT390" s="65"/>
    </row>
    <row r="391" spans="2:46" s="32" customFormat="1" x14ac:dyDescent="0.2">
      <c r="B391" s="44"/>
      <c r="C391" s="44"/>
      <c r="D391" s="35"/>
      <c r="E391" s="35"/>
      <c r="F391" s="35"/>
      <c r="G391" s="35"/>
      <c r="H391" s="35"/>
      <c r="I391" s="35"/>
      <c r="J391" s="35"/>
      <c r="K391" s="35"/>
      <c r="L391" s="35"/>
      <c r="M391" s="35"/>
      <c r="N391" s="35"/>
      <c r="O391" s="35"/>
      <c r="P391" s="35"/>
      <c r="Q391" s="35"/>
      <c r="R391" s="35"/>
      <c r="S391" s="35"/>
      <c r="T391" s="35"/>
      <c r="U391" s="35"/>
      <c r="AE391" s="65"/>
      <c r="AF391" s="65"/>
      <c r="AG391" s="65"/>
      <c r="AH391" s="65"/>
      <c r="AI391" s="65"/>
      <c r="AJ391" s="65"/>
      <c r="AK391" s="65"/>
      <c r="AL391" s="65"/>
      <c r="AM391" s="65"/>
      <c r="AN391" s="65"/>
      <c r="AO391" s="65"/>
      <c r="AP391" s="65"/>
      <c r="AQ391" s="65"/>
      <c r="AR391" s="65"/>
      <c r="AS391" s="65"/>
      <c r="AT391" s="65"/>
    </row>
    <row r="392" spans="2:46" s="32" customFormat="1" x14ac:dyDescent="0.2">
      <c r="B392" s="44"/>
      <c r="C392" s="44"/>
      <c r="D392" s="35"/>
      <c r="E392" s="35"/>
      <c r="F392" s="35"/>
      <c r="G392" s="35"/>
      <c r="H392" s="35"/>
      <c r="I392" s="35"/>
      <c r="J392" s="35"/>
      <c r="K392" s="35"/>
      <c r="L392" s="35"/>
      <c r="M392" s="35"/>
      <c r="N392" s="35"/>
      <c r="O392" s="35"/>
      <c r="P392" s="35"/>
      <c r="Q392" s="35"/>
      <c r="R392" s="35"/>
      <c r="S392" s="35"/>
      <c r="T392" s="35"/>
      <c r="U392" s="35"/>
      <c r="AE392" s="65"/>
      <c r="AF392" s="65"/>
      <c r="AG392" s="65"/>
      <c r="AH392" s="65"/>
      <c r="AI392" s="65"/>
      <c r="AJ392" s="65"/>
      <c r="AK392" s="65"/>
      <c r="AL392" s="65"/>
      <c r="AM392" s="65"/>
      <c r="AN392" s="65"/>
      <c r="AO392" s="65"/>
      <c r="AP392" s="65"/>
      <c r="AQ392" s="65"/>
      <c r="AR392" s="65"/>
      <c r="AS392" s="65"/>
      <c r="AT392" s="65"/>
    </row>
    <row r="393" spans="2:46" s="32" customFormat="1" x14ac:dyDescent="0.2">
      <c r="B393" s="44"/>
      <c r="C393" s="44"/>
      <c r="D393" s="35"/>
      <c r="E393" s="35"/>
      <c r="F393" s="35"/>
      <c r="G393" s="35"/>
      <c r="H393" s="35"/>
      <c r="I393" s="35"/>
      <c r="J393" s="35"/>
      <c r="K393" s="35"/>
      <c r="L393" s="35"/>
      <c r="M393" s="35"/>
      <c r="N393" s="35"/>
      <c r="O393" s="35"/>
      <c r="P393" s="35"/>
      <c r="Q393" s="35"/>
      <c r="R393" s="35"/>
      <c r="S393" s="35"/>
      <c r="T393" s="35"/>
      <c r="U393" s="35"/>
      <c r="AE393" s="65"/>
      <c r="AF393" s="65"/>
      <c r="AG393" s="65"/>
      <c r="AH393" s="65"/>
      <c r="AI393" s="65"/>
      <c r="AJ393" s="65"/>
      <c r="AK393" s="65"/>
      <c r="AL393" s="65"/>
      <c r="AM393" s="65"/>
      <c r="AN393" s="65"/>
      <c r="AO393" s="65"/>
      <c r="AP393" s="65"/>
      <c r="AQ393" s="65"/>
      <c r="AR393" s="65"/>
      <c r="AS393" s="65"/>
      <c r="AT393" s="65"/>
    </row>
    <row r="394" spans="2:46" s="32" customFormat="1" x14ac:dyDescent="0.2">
      <c r="B394" s="44"/>
      <c r="C394" s="44"/>
      <c r="D394" s="35"/>
      <c r="E394" s="35"/>
      <c r="F394" s="35"/>
      <c r="G394" s="35"/>
      <c r="H394" s="35"/>
      <c r="I394" s="35"/>
      <c r="J394" s="35"/>
      <c r="K394" s="35"/>
      <c r="L394" s="35"/>
      <c r="M394" s="35"/>
      <c r="N394" s="35"/>
      <c r="O394" s="35"/>
      <c r="P394" s="35"/>
      <c r="Q394" s="35"/>
      <c r="R394" s="35"/>
      <c r="S394" s="35"/>
      <c r="T394" s="35"/>
      <c r="U394" s="35"/>
      <c r="AE394" s="65"/>
      <c r="AF394" s="65"/>
      <c r="AG394" s="65"/>
      <c r="AH394" s="65"/>
      <c r="AI394" s="65"/>
      <c r="AJ394" s="65"/>
      <c r="AK394" s="65"/>
      <c r="AL394" s="65"/>
      <c r="AM394" s="65"/>
      <c r="AN394" s="65"/>
      <c r="AO394" s="65"/>
      <c r="AP394" s="65"/>
      <c r="AQ394" s="65"/>
      <c r="AR394" s="65"/>
      <c r="AS394" s="65"/>
      <c r="AT394" s="65"/>
    </row>
    <row r="395" spans="2:46" s="32" customFormat="1" x14ac:dyDescent="0.2">
      <c r="B395" s="44"/>
      <c r="C395" s="44"/>
      <c r="D395" s="35"/>
      <c r="E395" s="35"/>
      <c r="F395" s="35"/>
      <c r="G395" s="35"/>
      <c r="H395" s="35"/>
      <c r="I395" s="35"/>
      <c r="J395" s="35"/>
      <c r="K395" s="35"/>
      <c r="L395" s="35"/>
      <c r="M395" s="35"/>
      <c r="N395" s="35"/>
      <c r="O395" s="35"/>
      <c r="P395" s="35"/>
      <c r="Q395" s="35"/>
      <c r="R395" s="35"/>
      <c r="S395" s="35"/>
      <c r="T395" s="35"/>
      <c r="U395" s="35"/>
      <c r="AE395" s="65"/>
      <c r="AF395" s="65"/>
      <c r="AG395" s="65"/>
      <c r="AH395" s="65"/>
      <c r="AI395" s="65"/>
      <c r="AJ395" s="65"/>
      <c r="AK395" s="65"/>
      <c r="AL395" s="65"/>
      <c r="AM395" s="65"/>
      <c r="AN395" s="65"/>
      <c r="AO395" s="65"/>
      <c r="AP395" s="65"/>
      <c r="AQ395" s="65"/>
      <c r="AR395" s="65"/>
      <c r="AS395" s="65"/>
      <c r="AT395" s="65"/>
    </row>
    <row r="396" spans="2:46" s="32" customFormat="1" x14ac:dyDescent="0.2">
      <c r="B396" s="44"/>
      <c r="C396" s="44"/>
      <c r="D396" s="35"/>
      <c r="E396" s="35"/>
      <c r="F396" s="35"/>
      <c r="G396" s="35"/>
      <c r="H396" s="35"/>
      <c r="I396" s="35"/>
      <c r="J396" s="35"/>
      <c r="K396" s="35"/>
      <c r="L396" s="35"/>
      <c r="M396" s="35"/>
      <c r="N396" s="35"/>
      <c r="O396" s="35"/>
      <c r="P396" s="35"/>
      <c r="Q396" s="35"/>
      <c r="R396" s="35"/>
      <c r="S396" s="35"/>
      <c r="T396" s="35"/>
      <c r="U396" s="35"/>
      <c r="AE396" s="65"/>
      <c r="AF396" s="65"/>
      <c r="AG396" s="65"/>
      <c r="AH396" s="65"/>
      <c r="AI396" s="65"/>
      <c r="AJ396" s="65"/>
      <c r="AK396" s="65"/>
      <c r="AL396" s="65"/>
      <c r="AM396" s="65"/>
      <c r="AN396" s="65"/>
      <c r="AO396" s="65"/>
      <c r="AP396" s="65"/>
      <c r="AQ396" s="65"/>
      <c r="AR396" s="65"/>
      <c r="AS396" s="65"/>
      <c r="AT396" s="65"/>
    </row>
    <row r="397" spans="2:46" s="32" customFormat="1" x14ac:dyDescent="0.2">
      <c r="B397" s="44"/>
      <c r="C397" s="44"/>
      <c r="D397" s="35"/>
      <c r="E397" s="35"/>
      <c r="F397" s="35"/>
      <c r="G397" s="35"/>
      <c r="H397" s="35"/>
      <c r="I397" s="35"/>
      <c r="J397" s="35"/>
      <c r="K397" s="35"/>
      <c r="L397" s="35"/>
      <c r="M397" s="35"/>
      <c r="N397" s="35"/>
      <c r="O397" s="35"/>
      <c r="P397" s="35"/>
      <c r="Q397" s="35"/>
      <c r="R397" s="35"/>
      <c r="S397" s="35"/>
      <c r="T397" s="35"/>
      <c r="U397" s="35"/>
      <c r="AE397" s="65"/>
      <c r="AF397" s="65"/>
      <c r="AG397" s="65"/>
      <c r="AH397" s="65"/>
      <c r="AI397" s="65"/>
      <c r="AJ397" s="65"/>
      <c r="AK397" s="65"/>
      <c r="AL397" s="65"/>
      <c r="AM397" s="65"/>
      <c r="AN397" s="65"/>
      <c r="AO397" s="65"/>
      <c r="AP397" s="65"/>
      <c r="AQ397" s="65"/>
      <c r="AR397" s="65"/>
      <c r="AS397" s="65"/>
      <c r="AT397" s="65"/>
    </row>
    <row r="398" spans="2:46" s="32" customFormat="1" x14ac:dyDescent="0.2">
      <c r="B398" s="44"/>
      <c r="C398" s="44"/>
      <c r="D398" s="35"/>
      <c r="E398" s="35"/>
      <c r="F398" s="35"/>
      <c r="G398" s="35"/>
      <c r="H398" s="35"/>
      <c r="I398" s="35"/>
      <c r="J398" s="35"/>
      <c r="K398" s="35"/>
      <c r="L398" s="35"/>
      <c r="M398" s="35"/>
      <c r="N398" s="35"/>
      <c r="O398" s="35"/>
      <c r="P398" s="35"/>
      <c r="Q398" s="35"/>
      <c r="R398" s="35"/>
      <c r="S398" s="35"/>
      <c r="T398" s="35"/>
      <c r="U398" s="35"/>
      <c r="AE398" s="65"/>
      <c r="AF398" s="65"/>
      <c r="AG398" s="65"/>
      <c r="AH398" s="65"/>
      <c r="AI398" s="65"/>
      <c r="AJ398" s="65"/>
      <c r="AK398" s="65"/>
      <c r="AL398" s="65"/>
      <c r="AM398" s="65"/>
      <c r="AN398" s="65"/>
      <c r="AO398" s="65"/>
      <c r="AP398" s="65"/>
      <c r="AQ398" s="65"/>
      <c r="AR398" s="65"/>
      <c r="AS398" s="65"/>
      <c r="AT398" s="65"/>
    </row>
    <row r="399" spans="2:46" s="32" customFormat="1" x14ac:dyDescent="0.2">
      <c r="B399" s="44"/>
      <c r="C399" s="44"/>
      <c r="D399" s="35"/>
      <c r="E399" s="35"/>
      <c r="F399" s="35"/>
      <c r="G399" s="35"/>
      <c r="H399" s="35"/>
      <c r="I399" s="35"/>
      <c r="J399" s="35"/>
      <c r="K399" s="35"/>
      <c r="L399" s="35"/>
      <c r="M399" s="35"/>
      <c r="N399" s="35"/>
      <c r="O399" s="35"/>
      <c r="P399" s="35"/>
      <c r="Q399" s="35"/>
      <c r="R399" s="35"/>
      <c r="S399" s="35"/>
      <c r="T399" s="35"/>
      <c r="U399" s="35"/>
      <c r="AE399" s="65"/>
      <c r="AF399" s="65"/>
      <c r="AG399" s="65"/>
      <c r="AH399" s="65"/>
      <c r="AI399" s="65"/>
      <c r="AJ399" s="65"/>
      <c r="AK399" s="65"/>
      <c r="AL399" s="65"/>
      <c r="AM399" s="65"/>
      <c r="AN399" s="65"/>
      <c r="AO399" s="65"/>
      <c r="AP399" s="65"/>
      <c r="AQ399" s="65"/>
      <c r="AR399" s="65"/>
      <c r="AS399" s="65"/>
      <c r="AT399" s="65"/>
    </row>
    <row r="400" spans="2:46" s="32" customFormat="1" x14ac:dyDescent="0.2">
      <c r="B400" s="44"/>
      <c r="C400" s="44"/>
      <c r="D400" s="35"/>
      <c r="E400" s="35"/>
      <c r="F400" s="35"/>
      <c r="G400" s="35"/>
      <c r="H400" s="35"/>
      <c r="I400" s="35"/>
      <c r="J400" s="35"/>
      <c r="K400" s="35"/>
      <c r="L400" s="35"/>
      <c r="M400" s="35"/>
      <c r="N400" s="35"/>
      <c r="O400" s="35"/>
      <c r="P400" s="35"/>
      <c r="Q400" s="35"/>
      <c r="R400" s="35"/>
      <c r="S400" s="35"/>
      <c r="T400" s="35"/>
      <c r="U400" s="35"/>
      <c r="AE400" s="65"/>
      <c r="AF400" s="65"/>
      <c r="AG400" s="65"/>
      <c r="AH400" s="65"/>
      <c r="AI400" s="65"/>
      <c r="AJ400" s="65"/>
      <c r="AK400" s="65"/>
      <c r="AL400" s="65"/>
      <c r="AM400" s="65"/>
      <c r="AN400" s="65"/>
      <c r="AO400" s="65"/>
      <c r="AP400" s="65"/>
      <c r="AQ400" s="65"/>
      <c r="AR400" s="65"/>
      <c r="AS400" s="65"/>
      <c r="AT400" s="65"/>
    </row>
    <row r="401" spans="2:46" s="32" customFormat="1" x14ac:dyDescent="0.2">
      <c r="B401" s="44"/>
      <c r="C401" s="44"/>
      <c r="D401" s="35"/>
      <c r="E401" s="35"/>
      <c r="F401" s="35"/>
      <c r="G401" s="35"/>
      <c r="H401" s="35"/>
      <c r="I401" s="35"/>
      <c r="J401" s="35"/>
      <c r="K401" s="35"/>
      <c r="L401" s="35"/>
      <c r="M401" s="35"/>
      <c r="N401" s="35"/>
      <c r="O401" s="35"/>
      <c r="P401" s="35"/>
      <c r="Q401" s="35"/>
      <c r="R401" s="35"/>
      <c r="S401" s="35"/>
      <c r="T401" s="35"/>
      <c r="U401" s="35"/>
      <c r="AE401" s="65"/>
      <c r="AF401" s="65"/>
      <c r="AG401" s="65"/>
      <c r="AH401" s="65"/>
      <c r="AI401" s="65"/>
      <c r="AJ401" s="65"/>
      <c r="AK401" s="65"/>
      <c r="AL401" s="65"/>
      <c r="AM401" s="65"/>
      <c r="AN401" s="65"/>
      <c r="AO401" s="65"/>
      <c r="AP401" s="65"/>
      <c r="AQ401" s="65"/>
      <c r="AR401" s="65"/>
      <c r="AS401" s="65"/>
      <c r="AT401" s="65"/>
    </row>
    <row r="402" spans="2:46" s="32" customFormat="1" x14ac:dyDescent="0.2">
      <c r="B402" s="44"/>
      <c r="C402" s="44"/>
      <c r="D402" s="35"/>
      <c r="E402" s="35"/>
      <c r="F402" s="35"/>
      <c r="G402" s="35"/>
      <c r="H402" s="35"/>
      <c r="I402" s="35"/>
      <c r="J402" s="35"/>
      <c r="K402" s="35"/>
      <c r="L402" s="35"/>
      <c r="M402" s="35"/>
      <c r="N402" s="35"/>
      <c r="O402" s="35"/>
      <c r="P402" s="35"/>
      <c r="Q402" s="35"/>
      <c r="R402" s="35"/>
      <c r="S402" s="35"/>
      <c r="T402" s="35"/>
      <c r="U402" s="35"/>
      <c r="AE402" s="65"/>
      <c r="AF402" s="65"/>
      <c r="AG402" s="65"/>
      <c r="AH402" s="65"/>
      <c r="AI402" s="65"/>
      <c r="AJ402" s="65"/>
      <c r="AK402" s="65"/>
      <c r="AL402" s="65"/>
      <c r="AM402" s="65"/>
      <c r="AN402" s="65"/>
      <c r="AO402" s="65"/>
      <c r="AP402" s="65"/>
      <c r="AQ402" s="65"/>
      <c r="AR402" s="65"/>
      <c r="AS402" s="65"/>
      <c r="AT402" s="65"/>
    </row>
    <row r="403" spans="2:46" s="32" customFormat="1" x14ac:dyDescent="0.2">
      <c r="B403" s="44"/>
      <c r="C403" s="44"/>
      <c r="D403" s="35"/>
      <c r="E403" s="35"/>
      <c r="F403" s="35"/>
      <c r="G403" s="35"/>
      <c r="H403" s="35"/>
      <c r="I403" s="35"/>
      <c r="J403" s="35"/>
      <c r="K403" s="35"/>
      <c r="L403" s="35"/>
      <c r="M403" s="35"/>
      <c r="N403" s="35"/>
      <c r="O403" s="35"/>
      <c r="P403" s="35"/>
      <c r="Q403" s="35"/>
      <c r="R403" s="35"/>
      <c r="S403" s="35"/>
      <c r="T403" s="35"/>
      <c r="U403" s="35"/>
      <c r="AE403" s="65"/>
      <c r="AF403" s="65"/>
      <c r="AG403" s="65"/>
      <c r="AH403" s="65"/>
      <c r="AI403" s="65"/>
      <c r="AJ403" s="65"/>
      <c r="AK403" s="65"/>
      <c r="AL403" s="65"/>
      <c r="AM403" s="65"/>
      <c r="AN403" s="65"/>
      <c r="AO403" s="65"/>
      <c r="AP403" s="65"/>
      <c r="AQ403" s="65"/>
      <c r="AR403" s="65"/>
      <c r="AS403" s="65"/>
      <c r="AT403" s="65"/>
    </row>
    <row r="404" spans="2:46" s="32" customFormat="1" x14ac:dyDescent="0.2">
      <c r="B404" s="44"/>
      <c r="C404" s="44"/>
      <c r="D404" s="35"/>
      <c r="E404" s="35"/>
      <c r="F404" s="35"/>
      <c r="G404" s="35"/>
      <c r="H404" s="35"/>
      <c r="I404" s="35"/>
      <c r="J404" s="35"/>
      <c r="K404" s="35"/>
      <c r="L404" s="35"/>
      <c r="M404" s="35"/>
      <c r="N404" s="35"/>
      <c r="O404" s="35"/>
      <c r="P404" s="35"/>
      <c r="Q404" s="35"/>
      <c r="R404" s="35"/>
      <c r="S404" s="35"/>
      <c r="T404" s="35"/>
      <c r="U404" s="35"/>
      <c r="AE404" s="65"/>
      <c r="AF404" s="65"/>
      <c r="AG404" s="65"/>
      <c r="AH404" s="65"/>
      <c r="AI404" s="65"/>
      <c r="AJ404" s="65"/>
      <c r="AK404" s="65"/>
      <c r="AL404" s="65"/>
      <c r="AM404" s="65"/>
      <c r="AN404" s="65"/>
      <c r="AO404" s="65"/>
      <c r="AP404" s="65"/>
      <c r="AQ404" s="65"/>
      <c r="AR404" s="65"/>
      <c r="AS404" s="65"/>
      <c r="AT404" s="65"/>
    </row>
    <row r="405" spans="2:46" s="32" customFormat="1" x14ac:dyDescent="0.2">
      <c r="B405" s="44"/>
      <c r="C405" s="44"/>
      <c r="D405" s="35"/>
      <c r="E405" s="35"/>
      <c r="F405" s="35"/>
      <c r="G405" s="35"/>
      <c r="H405" s="35"/>
      <c r="I405" s="35"/>
      <c r="J405" s="35"/>
      <c r="K405" s="35"/>
      <c r="L405" s="35"/>
      <c r="M405" s="35"/>
      <c r="N405" s="35"/>
      <c r="O405" s="35"/>
      <c r="P405" s="35"/>
      <c r="Q405" s="35"/>
      <c r="R405" s="35"/>
      <c r="S405" s="35"/>
      <c r="T405" s="35"/>
      <c r="U405" s="35"/>
      <c r="AE405" s="65"/>
      <c r="AF405" s="65"/>
      <c r="AG405" s="65"/>
      <c r="AH405" s="65"/>
      <c r="AI405" s="65"/>
      <c r="AJ405" s="65"/>
      <c r="AK405" s="65"/>
      <c r="AL405" s="65"/>
      <c r="AM405" s="65"/>
      <c r="AN405" s="65"/>
      <c r="AO405" s="65"/>
      <c r="AP405" s="65"/>
      <c r="AQ405" s="65"/>
      <c r="AR405" s="65"/>
      <c r="AS405" s="65"/>
      <c r="AT405" s="65"/>
    </row>
    <row r="406" spans="2:46" s="32" customFormat="1" x14ac:dyDescent="0.2">
      <c r="B406" s="44"/>
      <c r="C406" s="44"/>
      <c r="D406" s="35"/>
      <c r="E406" s="35"/>
      <c r="F406" s="35"/>
      <c r="G406" s="35"/>
      <c r="H406" s="35"/>
      <c r="I406" s="35"/>
      <c r="J406" s="35"/>
      <c r="K406" s="35"/>
      <c r="L406" s="35"/>
      <c r="M406" s="35"/>
      <c r="N406" s="35"/>
      <c r="O406" s="35"/>
      <c r="P406" s="35"/>
      <c r="Q406" s="35"/>
      <c r="R406" s="35"/>
      <c r="S406" s="35"/>
      <c r="T406" s="35"/>
      <c r="U406" s="35"/>
      <c r="AE406" s="65"/>
      <c r="AF406" s="65"/>
      <c r="AG406" s="65"/>
      <c r="AH406" s="65"/>
      <c r="AI406" s="65"/>
      <c r="AJ406" s="65"/>
      <c r="AK406" s="65"/>
      <c r="AL406" s="65"/>
      <c r="AM406" s="65"/>
      <c r="AN406" s="65"/>
      <c r="AO406" s="65"/>
      <c r="AP406" s="65"/>
      <c r="AQ406" s="65"/>
      <c r="AR406" s="65"/>
      <c r="AS406" s="65"/>
      <c r="AT406" s="65"/>
    </row>
    <row r="407" spans="2:46" s="32" customFormat="1" x14ac:dyDescent="0.2">
      <c r="B407" s="44"/>
      <c r="C407" s="44"/>
      <c r="D407" s="35"/>
      <c r="E407" s="35"/>
      <c r="F407" s="35"/>
      <c r="G407" s="35"/>
      <c r="H407" s="35"/>
      <c r="I407" s="35"/>
      <c r="J407" s="35"/>
      <c r="K407" s="35"/>
      <c r="L407" s="35"/>
      <c r="M407" s="35"/>
      <c r="N407" s="35"/>
      <c r="O407" s="35"/>
      <c r="P407" s="35"/>
      <c r="Q407" s="35"/>
      <c r="R407" s="35"/>
      <c r="S407" s="35"/>
      <c r="T407" s="35"/>
      <c r="U407" s="35"/>
      <c r="AE407" s="65"/>
      <c r="AF407" s="65"/>
      <c r="AG407" s="65"/>
      <c r="AH407" s="65"/>
      <c r="AI407" s="65"/>
      <c r="AJ407" s="65"/>
      <c r="AK407" s="65"/>
      <c r="AL407" s="65"/>
      <c r="AM407" s="65"/>
      <c r="AN407" s="65"/>
      <c r="AO407" s="65"/>
      <c r="AP407" s="65"/>
      <c r="AQ407" s="65"/>
      <c r="AR407" s="65"/>
      <c r="AS407" s="65"/>
      <c r="AT407" s="65"/>
    </row>
    <row r="408" spans="2:46" s="32" customFormat="1" x14ac:dyDescent="0.2">
      <c r="B408" s="44"/>
      <c r="C408" s="44"/>
      <c r="D408" s="35"/>
      <c r="E408" s="35"/>
      <c r="F408" s="35"/>
      <c r="G408" s="35"/>
      <c r="H408" s="35"/>
      <c r="I408" s="35"/>
      <c r="J408" s="35"/>
      <c r="K408" s="35"/>
      <c r="L408" s="35"/>
      <c r="M408" s="35"/>
      <c r="N408" s="35"/>
      <c r="O408" s="35"/>
      <c r="P408" s="35"/>
      <c r="Q408" s="35"/>
      <c r="R408" s="35"/>
      <c r="S408" s="35"/>
      <c r="T408" s="35"/>
      <c r="U408" s="35"/>
      <c r="AE408" s="65"/>
      <c r="AF408" s="65"/>
      <c r="AG408" s="65"/>
      <c r="AH408" s="65"/>
      <c r="AI408" s="65"/>
      <c r="AJ408" s="65"/>
      <c r="AK408" s="65"/>
      <c r="AL408" s="65"/>
      <c r="AM408" s="65"/>
      <c r="AN408" s="65"/>
      <c r="AO408" s="65"/>
      <c r="AP408" s="65"/>
      <c r="AQ408" s="65"/>
      <c r="AR408" s="65"/>
      <c r="AS408" s="65"/>
      <c r="AT408" s="65"/>
    </row>
    <row r="409" spans="2:46" s="32" customFormat="1" x14ac:dyDescent="0.2">
      <c r="B409" s="44"/>
      <c r="C409" s="44"/>
      <c r="D409" s="35"/>
      <c r="E409" s="35"/>
      <c r="F409" s="35"/>
      <c r="G409" s="35"/>
      <c r="H409" s="35"/>
      <c r="I409" s="35"/>
      <c r="J409" s="35"/>
      <c r="K409" s="35"/>
      <c r="L409" s="35"/>
      <c r="M409" s="35"/>
      <c r="N409" s="35"/>
      <c r="O409" s="35"/>
      <c r="P409" s="35"/>
      <c r="Q409" s="35"/>
      <c r="R409" s="35"/>
      <c r="S409" s="35"/>
      <c r="T409" s="35"/>
      <c r="U409" s="35"/>
      <c r="AE409" s="65"/>
      <c r="AF409" s="65"/>
      <c r="AG409" s="65"/>
      <c r="AH409" s="65"/>
      <c r="AI409" s="65"/>
      <c r="AJ409" s="65"/>
      <c r="AK409" s="65"/>
      <c r="AL409" s="65"/>
      <c r="AM409" s="65"/>
      <c r="AN409" s="65"/>
      <c r="AO409" s="65"/>
      <c r="AP409" s="65"/>
      <c r="AQ409" s="65"/>
      <c r="AR409" s="65"/>
      <c r="AS409" s="65"/>
      <c r="AT409" s="65"/>
    </row>
    <row r="410" spans="2:46" s="32" customFormat="1" x14ac:dyDescent="0.2">
      <c r="B410" s="44"/>
      <c r="C410" s="44"/>
      <c r="D410" s="35"/>
      <c r="E410" s="35"/>
      <c r="F410" s="35"/>
      <c r="G410" s="35"/>
      <c r="H410" s="35"/>
      <c r="I410" s="35"/>
      <c r="J410" s="35"/>
      <c r="K410" s="35"/>
      <c r="L410" s="35"/>
      <c r="M410" s="35"/>
      <c r="N410" s="35"/>
      <c r="O410" s="35"/>
      <c r="P410" s="35"/>
      <c r="Q410" s="35"/>
      <c r="R410" s="35"/>
      <c r="S410" s="35"/>
      <c r="T410" s="35"/>
      <c r="U410" s="35"/>
      <c r="AE410" s="65"/>
      <c r="AF410" s="65"/>
      <c r="AG410" s="65"/>
      <c r="AH410" s="65"/>
      <c r="AI410" s="65"/>
      <c r="AJ410" s="65"/>
      <c r="AK410" s="65"/>
      <c r="AL410" s="65"/>
      <c r="AM410" s="65"/>
      <c r="AN410" s="65"/>
      <c r="AO410" s="65"/>
      <c r="AP410" s="65"/>
      <c r="AQ410" s="65"/>
      <c r="AR410" s="65"/>
      <c r="AS410" s="65"/>
      <c r="AT410" s="65"/>
    </row>
    <row r="411" spans="2:46" s="32" customFormat="1" x14ac:dyDescent="0.2">
      <c r="B411" s="44"/>
      <c r="C411" s="44"/>
      <c r="D411" s="35"/>
      <c r="E411" s="35"/>
      <c r="F411" s="35"/>
      <c r="G411" s="35"/>
      <c r="H411" s="35"/>
      <c r="I411" s="35"/>
      <c r="J411" s="35"/>
      <c r="K411" s="35"/>
      <c r="L411" s="35"/>
      <c r="M411" s="35"/>
      <c r="N411" s="35"/>
      <c r="O411" s="35"/>
      <c r="P411" s="35"/>
      <c r="Q411" s="35"/>
      <c r="R411" s="35"/>
      <c r="S411" s="35"/>
      <c r="T411" s="35"/>
      <c r="U411" s="35"/>
      <c r="AE411" s="65"/>
      <c r="AF411" s="65"/>
      <c r="AG411" s="65"/>
      <c r="AH411" s="65"/>
      <c r="AI411" s="65"/>
      <c r="AJ411" s="65"/>
      <c r="AK411" s="65"/>
      <c r="AL411" s="65"/>
      <c r="AM411" s="65"/>
      <c r="AN411" s="65"/>
      <c r="AO411" s="65"/>
      <c r="AP411" s="65"/>
      <c r="AQ411" s="65"/>
      <c r="AR411" s="65"/>
      <c r="AS411" s="65"/>
      <c r="AT411" s="65"/>
    </row>
    <row r="412" spans="2:46" s="32" customFormat="1" x14ac:dyDescent="0.2">
      <c r="B412" s="44"/>
      <c r="C412" s="44"/>
      <c r="D412" s="35"/>
      <c r="E412" s="35"/>
      <c r="F412" s="35"/>
      <c r="G412" s="35"/>
      <c r="H412" s="35"/>
      <c r="I412" s="35"/>
      <c r="J412" s="35"/>
      <c r="K412" s="35"/>
      <c r="L412" s="35"/>
      <c r="M412" s="35"/>
      <c r="N412" s="35"/>
      <c r="O412" s="35"/>
      <c r="P412" s="35"/>
      <c r="Q412" s="35"/>
      <c r="R412" s="35"/>
      <c r="S412" s="35"/>
      <c r="T412" s="35"/>
      <c r="U412" s="35"/>
      <c r="AE412" s="65"/>
      <c r="AF412" s="65"/>
      <c r="AG412" s="65"/>
      <c r="AH412" s="65"/>
      <c r="AI412" s="65"/>
      <c r="AJ412" s="65"/>
      <c r="AK412" s="65"/>
      <c r="AL412" s="65"/>
      <c r="AM412" s="65"/>
      <c r="AN412" s="65"/>
      <c r="AO412" s="65"/>
      <c r="AP412" s="65"/>
      <c r="AQ412" s="65"/>
      <c r="AR412" s="65"/>
      <c r="AS412" s="65"/>
      <c r="AT412" s="65"/>
    </row>
    <row r="413" spans="2:46" s="32" customFormat="1" x14ac:dyDescent="0.2">
      <c r="B413" s="44"/>
      <c r="C413" s="44"/>
      <c r="D413" s="35"/>
      <c r="E413" s="35"/>
      <c r="F413" s="35"/>
      <c r="G413" s="35"/>
      <c r="H413" s="35"/>
      <c r="I413" s="35"/>
      <c r="J413" s="35"/>
      <c r="K413" s="35"/>
      <c r="L413" s="35"/>
      <c r="M413" s="35"/>
      <c r="N413" s="35"/>
      <c r="O413" s="35"/>
      <c r="P413" s="35"/>
      <c r="Q413" s="35"/>
      <c r="R413" s="35"/>
      <c r="S413" s="35"/>
      <c r="T413" s="35"/>
      <c r="U413" s="35"/>
      <c r="AE413" s="65"/>
      <c r="AF413" s="65"/>
      <c r="AG413" s="65"/>
      <c r="AH413" s="65"/>
      <c r="AI413" s="65"/>
      <c r="AJ413" s="65"/>
      <c r="AK413" s="65"/>
      <c r="AL413" s="65"/>
      <c r="AM413" s="65"/>
      <c r="AN413" s="65"/>
      <c r="AO413" s="65"/>
      <c r="AP413" s="65"/>
      <c r="AQ413" s="65"/>
      <c r="AR413" s="65"/>
      <c r="AS413" s="65"/>
      <c r="AT413" s="65"/>
    </row>
    <row r="414" spans="2:46" s="32" customFormat="1" x14ac:dyDescent="0.2">
      <c r="B414" s="44"/>
      <c r="C414" s="44"/>
      <c r="D414" s="35"/>
      <c r="E414" s="35"/>
      <c r="F414" s="35"/>
      <c r="G414" s="35"/>
      <c r="H414" s="35"/>
      <c r="I414" s="35"/>
      <c r="J414" s="35"/>
      <c r="K414" s="35"/>
      <c r="L414" s="35"/>
      <c r="M414" s="35"/>
      <c r="N414" s="35"/>
      <c r="O414" s="35"/>
      <c r="P414" s="35"/>
      <c r="Q414" s="35"/>
      <c r="R414" s="35"/>
      <c r="S414" s="35"/>
      <c r="T414" s="35"/>
      <c r="U414" s="35"/>
      <c r="AE414" s="65"/>
      <c r="AF414" s="65"/>
      <c r="AG414" s="65"/>
      <c r="AH414" s="65"/>
      <c r="AI414" s="65"/>
      <c r="AJ414" s="65"/>
      <c r="AK414" s="65"/>
      <c r="AL414" s="65"/>
      <c r="AM414" s="65"/>
      <c r="AN414" s="65"/>
      <c r="AO414" s="65"/>
      <c r="AP414" s="65"/>
      <c r="AQ414" s="65"/>
      <c r="AR414" s="65"/>
      <c r="AS414" s="65"/>
      <c r="AT414" s="65"/>
    </row>
    <row r="415" spans="2:46" s="32" customFormat="1" x14ac:dyDescent="0.2">
      <c r="B415" s="44"/>
      <c r="C415" s="44"/>
      <c r="D415" s="35"/>
      <c r="E415" s="35"/>
      <c r="F415" s="35"/>
      <c r="G415" s="35"/>
      <c r="H415" s="35"/>
      <c r="I415" s="35"/>
      <c r="J415" s="35"/>
      <c r="K415" s="35"/>
      <c r="L415" s="35"/>
      <c r="M415" s="35"/>
      <c r="N415" s="35"/>
      <c r="O415" s="35"/>
      <c r="P415" s="35"/>
      <c r="Q415" s="35"/>
      <c r="R415" s="35"/>
      <c r="S415" s="35"/>
      <c r="T415" s="35"/>
      <c r="U415" s="35"/>
      <c r="AE415" s="65"/>
      <c r="AF415" s="65"/>
      <c r="AG415" s="65"/>
      <c r="AH415" s="65"/>
      <c r="AI415" s="65"/>
      <c r="AJ415" s="65"/>
      <c r="AK415" s="65"/>
      <c r="AL415" s="65"/>
      <c r="AM415" s="65"/>
      <c r="AN415" s="65"/>
      <c r="AO415" s="65"/>
      <c r="AP415" s="65"/>
      <c r="AQ415" s="65"/>
      <c r="AR415" s="65"/>
      <c r="AS415" s="65"/>
      <c r="AT415" s="65"/>
    </row>
    <row r="416" spans="2:46" s="32" customFormat="1" x14ac:dyDescent="0.2">
      <c r="B416" s="44"/>
      <c r="C416" s="44"/>
      <c r="D416" s="35"/>
      <c r="E416" s="35"/>
      <c r="F416" s="35"/>
      <c r="G416" s="35"/>
      <c r="H416" s="35"/>
      <c r="I416" s="35"/>
      <c r="J416" s="35"/>
      <c r="K416" s="35"/>
      <c r="L416" s="35"/>
      <c r="M416" s="35"/>
      <c r="N416" s="35"/>
      <c r="O416" s="35"/>
      <c r="P416" s="35"/>
      <c r="Q416" s="35"/>
      <c r="R416" s="35"/>
      <c r="S416" s="35"/>
      <c r="T416" s="35"/>
      <c r="U416" s="35"/>
      <c r="AE416" s="65"/>
      <c r="AF416" s="65"/>
      <c r="AG416" s="65"/>
      <c r="AH416" s="65"/>
      <c r="AI416" s="65"/>
      <c r="AJ416" s="65"/>
      <c r="AK416" s="65"/>
      <c r="AL416" s="65"/>
      <c r="AM416" s="65"/>
      <c r="AN416" s="65"/>
      <c r="AO416" s="65"/>
      <c r="AP416" s="65"/>
      <c r="AQ416" s="65"/>
      <c r="AR416" s="65"/>
      <c r="AS416" s="65"/>
      <c r="AT416" s="65"/>
    </row>
    <row r="417" spans="2:46" s="32" customFormat="1" x14ac:dyDescent="0.2">
      <c r="B417" s="44"/>
      <c r="C417" s="44"/>
      <c r="D417" s="35"/>
      <c r="E417" s="35"/>
      <c r="F417" s="35"/>
      <c r="G417" s="35"/>
      <c r="H417" s="35"/>
      <c r="I417" s="35"/>
      <c r="J417" s="35"/>
      <c r="K417" s="35"/>
      <c r="L417" s="35"/>
      <c r="M417" s="35"/>
      <c r="N417" s="35"/>
      <c r="O417" s="35"/>
      <c r="P417" s="35"/>
      <c r="Q417" s="35"/>
      <c r="R417" s="35"/>
      <c r="S417" s="35"/>
      <c r="T417" s="35"/>
      <c r="U417" s="35"/>
      <c r="AE417" s="65"/>
      <c r="AF417" s="65"/>
      <c r="AG417" s="65"/>
      <c r="AH417" s="65"/>
      <c r="AI417" s="65"/>
      <c r="AJ417" s="65"/>
      <c r="AK417" s="65"/>
      <c r="AL417" s="65"/>
      <c r="AM417" s="65"/>
      <c r="AN417" s="65"/>
      <c r="AO417" s="65"/>
      <c r="AP417" s="65"/>
      <c r="AQ417" s="65"/>
      <c r="AR417" s="65"/>
      <c r="AS417" s="65"/>
      <c r="AT417" s="65"/>
    </row>
    <row r="418" spans="2:46" s="32" customFormat="1" x14ac:dyDescent="0.2">
      <c r="B418" s="44"/>
      <c r="C418" s="44"/>
      <c r="D418" s="35"/>
      <c r="E418" s="35"/>
      <c r="F418" s="35"/>
      <c r="G418" s="35"/>
      <c r="H418" s="35"/>
      <c r="I418" s="35"/>
      <c r="J418" s="35"/>
      <c r="K418" s="35"/>
      <c r="L418" s="35"/>
      <c r="M418" s="35"/>
      <c r="N418" s="35"/>
      <c r="O418" s="35"/>
      <c r="P418" s="35"/>
      <c r="Q418" s="35"/>
      <c r="R418" s="35"/>
      <c r="S418" s="35"/>
      <c r="T418" s="35"/>
      <c r="U418" s="35"/>
      <c r="AE418" s="65"/>
      <c r="AF418" s="65"/>
      <c r="AG418" s="65"/>
      <c r="AH418" s="65"/>
      <c r="AI418" s="65"/>
      <c r="AJ418" s="65"/>
      <c r="AK418" s="65"/>
      <c r="AL418" s="65"/>
      <c r="AM418" s="65"/>
      <c r="AN418" s="65"/>
      <c r="AO418" s="65"/>
      <c r="AP418" s="65"/>
      <c r="AQ418" s="65"/>
      <c r="AR418" s="65"/>
      <c r="AS418" s="65"/>
      <c r="AT418" s="65"/>
    </row>
    <row r="419" spans="2:46" s="32" customFormat="1" x14ac:dyDescent="0.2">
      <c r="B419" s="44"/>
      <c r="C419" s="44"/>
      <c r="D419" s="35"/>
      <c r="E419" s="35"/>
      <c r="F419" s="35"/>
      <c r="G419" s="35"/>
      <c r="H419" s="35"/>
      <c r="I419" s="35"/>
      <c r="J419" s="35"/>
      <c r="K419" s="35"/>
      <c r="L419" s="35"/>
      <c r="M419" s="35"/>
      <c r="N419" s="35"/>
      <c r="O419" s="35"/>
      <c r="P419" s="35"/>
      <c r="Q419" s="35"/>
      <c r="R419" s="35"/>
      <c r="S419" s="35"/>
      <c r="T419" s="35"/>
      <c r="U419" s="35"/>
      <c r="AE419" s="65"/>
      <c r="AF419" s="65"/>
      <c r="AG419" s="65"/>
      <c r="AH419" s="65"/>
      <c r="AI419" s="65"/>
      <c r="AJ419" s="65"/>
      <c r="AK419" s="65"/>
      <c r="AL419" s="65"/>
      <c r="AM419" s="65"/>
      <c r="AN419" s="65"/>
      <c r="AO419" s="65"/>
      <c r="AP419" s="65"/>
      <c r="AQ419" s="65"/>
      <c r="AR419" s="65"/>
      <c r="AS419" s="65"/>
      <c r="AT419" s="65"/>
    </row>
    <row r="420" spans="2:46" s="32" customFormat="1" x14ac:dyDescent="0.2">
      <c r="B420" s="44"/>
      <c r="C420" s="44"/>
      <c r="D420" s="35"/>
      <c r="E420" s="35"/>
      <c r="F420" s="35"/>
      <c r="G420" s="35"/>
      <c r="H420" s="35"/>
      <c r="I420" s="35"/>
      <c r="J420" s="35"/>
      <c r="K420" s="35"/>
      <c r="L420" s="35"/>
      <c r="M420" s="35"/>
      <c r="N420" s="35"/>
      <c r="O420" s="35"/>
      <c r="P420" s="35"/>
      <c r="Q420" s="35"/>
      <c r="R420" s="35"/>
      <c r="S420" s="35"/>
      <c r="T420" s="35"/>
      <c r="U420" s="35"/>
      <c r="AE420" s="65"/>
      <c r="AF420" s="65"/>
      <c r="AG420" s="65"/>
      <c r="AH420" s="65"/>
      <c r="AI420" s="65"/>
      <c r="AJ420" s="65"/>
      <c r="AK420" s="65"/>
      <c r="AL420" s="65"/>
      <c r="AM420" s="65"/>
      <c r="AN420" s="65"/>
      <c r="AO420" s="65"/>
      <c r="AP420" s="65"/>
      <c r="AQ420" s="65"/>
      <c r="AR420" s="65"/>
      <c r="AS420" s="65"/>
      <c r="AT420" s="65"/>
    </row>
    <row r="421" spans="2:46" s="32" customFormat="1" x14ac:dyDescent="0.2">
      <c r="B421" s="44"/>
      <c r="C421" s="44"/>
      <c r="D421" s="35"/>
      <c r="E421" s="35"/>
      <c r="F421" s="35"/>
      <c r="G421" s="35"/>
      <c r="H421" s="35"/>
      <c r="I421" s="35"/>
      <c r="J421" s="35"/>
      <c r="K421" s="35"/>
      <c r="L421" s="35"/>
      <c r="M421" s="35"/>
      <c r="N421" s="35"/>
      <c r="O421" s="35"/>
      <c r="P421" s="35"/>
      <c r="Q421" s="35"/>
      <c r="R421" s="35"/>
      <c r="S421" s="35"/>
      <c r="T421" s="35"/>
      <c r="U421" s="35"/>
      <c r="AE421" s="65"/>
      <c r="AF421" s="65"/>
      <c r="AG421" s="65"/>
      <c r="AH421" s="65"/>
      <c r="AI421" s="65"/>
      <c r="AJ421" s="65"/>
      <c r="AK421" s="65"/>
      <c r="AL421" s="65"/>
      <c r="AM421" s="65"/>
      <c r="AN421" s="65"/>
      <c r="AO421" s="65"/>
      <c r="AP421" s="65"/>
      <c r="AQ421" s="65"/>
      <c r="AR421" s="65"/>
      <c r="AS421" s="65"/>
      <c r="AT421" s="65"/>
    </row>
    <row r="422" spans="2:46" s="32" customFormat="1" x14ac:dyDescent="0.2">
      <c r="B422" s="44"/>
      <c r="C422" s="44"/>
      <c r="D422" s="35"/>
      <c r="E422" s="35"/>
      <c r="F422" s="35"/>
      <c r="G422" s="35"/>
      <c r="H422" s="35"/>
      <c r="I422" s="35"/>
      <c r="J422" s="35"/>
      <c r="K422" s="35"/>
      <c r="L422" s="35"/>
      <c r="M422" s="35"/>
      <c r="N422" s="35"/>
      <c r="O422" s="35"/>
      <c r="P422" s="35"/>
      <c r="Q422" s="35"/>
      <c r="R422" s="35"/>
      <c r="S422" s="35"/>
      <c r="T422" s="35"/>
      <c r="U422" s="35"/>
      <c r="AE422" s="65"/>
      <c r="AF422" s="65"/>
      <c r="AG422" s="65"/>
      <c r="AH422" s="65"/>
      <c r="AI422" s="65"/>
      <c r="AJ422" s="65"/>
      <c r="AK422" s="65"/>
      <c r="AL422" s="65"/>
      <c r="AM422" s="65"/>
      <c r="AN422" s="65"/>
      <c r="AO422" s="65"/>
      <c r="AP422" s="65"/>
      <c r="AQ422" s="65"/>
      <c r="AR422" s="65"/>
      <c r="AS422" s="65"/>
      <c r="AT422" s="65"/>
    </row>
    <row r="423" spans="2:46" s="32" customFormat="1" x14ac:dyDescent="0.2">
      <c r="B423" s="44"/>
      <c r="C423" s="44"/>
      <c r="D423" s="35"/>
      <c r="E423" s="35"/>
      <c r="F423" s="35"/>
      <c r="G423" s="35"/>
      <c r="H423" s="35"/>
      <c r="I423" s="35"/>
      <c r="J423" s="35"/>
      <c r="K423" s="35"/>
      <c r="L423" s="35"/>
      <c r="M423" s="35"/>
      <c r="N423" s="35"/>
      <c r="O423" s="35"/>
      <c r="P423" s="35"/>
      <c r="Q423" s="35"/>
      <c r="R423" s="35"/>
      <c r="S423" s="35"/>
      <c r="T423" s="35"/>
      <c r="U423" s="35"/>
      <c r="AE423" s="65"/>
      <c r="AF423" s="65"/>
      <c r="AG423" s="65"/>
      <c r="AH423" s="65"/>
      <c r="AI423" s="65"/>
      <c r="AJ423" s="65"/>
      <c r="AK423" s="65"/>
      <c r="AL423" s="65"/>
      <c r="AM423" s="65"/>
      <c r="AN423" s="65"/>
      <c r="AO423" s="65"/>
      <c r="AP423" s="65"/>
      <c r="AQ423" s="65"/>
      <c r="AR423" s="65"/>
      <c r="AS423" s="65"/>
      <c r="AT423" s="65"/>
    </row>
    <row r="424" spans="2:46" s="32" customFormat="1" x14ac:dyDescent="0.2">
      <c r="B424" s="44"/>
      <c r="C424" s="44"/>
      <c r="D424" s="35"/>
      <c r="E424" s="35"/>
      <c r="F424" s="35"/>
      <c r="G424" s="35"/>
      <c r="H424" s="35"/>
      <c r="I424" s="35"/>
      <c r="J424" s="35"/>
      <c r="K424" s="35"/>
      <c r="L424" s="35"/>
      <c r="M424" s="35"/>
      <c r="N424" s="35"/>
      <c r="O424" s="35"/>
      <c r="P424" s="35"/>
      <c r="Q424" s="35"/>
      <c r="R424" s="35"/>
      <c r="S424" s="35"/>
      <c r="T424" s="35"/>
      <c r="U424" s="35"/>
      <c r="AE424" s="65"/>
      <c r="AF424" s="65"/>
      <c r="AG424" s="65"/>
      <c r="AH424" s="65"/>
      <c r="AI424" s="65"/>
      <c r="AJ424" s="65"/>
      <c r="AK424" s="65"/>
      <c r="AL424" s="65"/>
      <c r="AM424" s="65"/>
      <c r="AN424" s="65"/>
      <c r="AO424" s="65"/>
      <c r="AP424" s="65"/>
      <c r="AQ424" s="65"/>
      <c r="AR424" s="65"/>
      <c r="AS424" s="65"/>
      <c r="AT424" s="65"/>
    </row>
    <row r="425" spans="2:46" s="32" customFormat="1" x14ac:dyDescent="0.2">
      <c r="B425" s="44"/>
      <c r="C425" s="44"/>
      <c r="D425" s="35"/>
      <c r="E425" s="35"/>
      <c r="F425" s="35"/>
      <c r="G425" s="35"/>
      <c r="H425" s="35"/>
      <c r="I425" s="35"/>
      <c r="J425" s="35"/>
      <c r="K425" s="35"/>
      <c r="L425" s="35"/>
      <c r="M425" s="35"/>
      <c r="N425" s="35"/>
      <c r="O425" s="35"/>
      <c r="P425" s="35"/>
      <c r="Q425" s="35"/>
      <c r="R425" s="35"/>
      <c r="S425" s="35"/>
      <c r="T425" s="35"/>
      <c r="U425" s="35"/>
      <c r="AE425" s="65"/>
      <c r="AF425" s="65"/>
      <c r="AG425" s="65"/>
      <c r="AH425" s="65"/>
      <c r="AI425" s="65"/>
      <c r="AJ425" s="65"/>
      <c r="AK425" s="65"/>
      <c r="AL425" s="65"/>
      <c r="AM425" s="65"/>
      <c r="AN425" s="65"/>
      <c r="AO425" s="65"/>
      <c r="AP425" s="65"/>
      <c r="AQ425" s="65"/>
      <c r="AR425" s="65"/>
      <c r="AS425" s="65"/>
      <c r="AT425" s="65"/>
    </row>
    <row r="426" spans="2:46" s="32" customFormat="1" x14ac:dyDescent="0.2">
      <c r="B426" s="44"/>
      <c r="C426" s="44"/>
      <c r="D426" s="35"/>
      <c r="E426" s="35"/>
      <c r="F426" s="35"/>
      <c r="G426" s="35"/>
      <c r="H426" s="35"/>
      <c r="I426" s="35"/>
      <c r="J426" s="35"/>
      <c r="K426" s="35"/>
      <c r="L426" s="35"/>
      <c r="M426" s="35"/>
      <c r="N426" s="35"/>
      <c r="O426" s="35"/>
      <c r="P426" s="35"/>
      <c r="Q426" s="35"/>
      <c r="R426" s="35"/>
      <c r="S426" s="35"/>
      <c r="T426" s="35"/>
      <c r="U426" s="35"/>
      <c r="AE426" s="65"/>
      <c r="AF426" s="65"/>
      <c r="AG426" s="65"/>
      <c r="AH426" s="65"/>
      <c r="AI426" s="65"/>
      <c r="AJ426" s="65"/>
      <c r="AK426" s="65"/>
      <c r="AL426" s="65"/>
      <c r="AM426" s="65"/>
      <c r="AN426" s="65"/>
      <c r="AO426" s="65"/>
      <c r="AP426" s="65"/>
      <c r="AQ426" s="65"/>
      <c r="AR426" s="65"/>
      <c r="AS426" s="65"/>
      <c r="AT426" s="65"/>
    </row>
    <row r="427" spans="2:46" s="32" customFormat="1" x14ac:dyDescent="0.2">
      <c r="B427" s="44"/>
      <c r="C427" s="44"/>
      <c r="D427" s="35"/>
      <c r="E427" s="35"/>
      <c r="F427" s="35"/>
      <c r="G427" s="35"/>
      <c r="H427" s="35"/>
      <c r="I427" s="35"/>
      <c r="J427" s="35"/>
      <c r="K427" s="35"/>
      <c r="L427" s="35"/>
      <c r="M427" s="35"/>
      <c r="N427" s="35"/>
      <c r="O427" s="35"/>
      <c r="P427" s="35"/>
      <c r="Q427" s="35"/>
      <c r="R427" s="35"/>
      <c r="S427" s="35"/>
      <c r="T427" s="35"/>
      <c r="U427" s="35"/>
      <c r="AE427" s="65"/>
      <c r="AF427" s="65"/>
      <c r="AG427" s="65"/>
      <c r="AH427" s="65"/>
      <c r="AI427" s="65"/>
      <c r="AJ427" s="65"/>
      <c r="AK427" s="65"/>
      <c r="AL427" s="65"/>
      <c r="AM427" s="65"/>
      <c r="AN427" s="65"/>
      <c r="AO427" s="65"/>
      <c r="AP427" s="65"/>
      <c r="AQ427" s="65"/>
      <c r="AR427" s="65"/>
      <c r="AS427" s="65"/>
      <c r="AT427" s="65"/>
    </row>
    <row r="428" spans="2:46" s="32" customFormat="1" x14ac:dyDescent="0.2">
      <c r="B428" s="44"/>
      <c r="C428" s="44"/>
      <c r="D428" s="35"/>
      <c r="E428" s="35"/>
      <c r="F428" s="35"/>
      <c r="G428" s="35"/>
      <c r="H428" s="35"/>
      <c r="I428" s="35"/>
      <c r="J428" s="35"/>
      <c r="K428" s="35"/>
      <c r="L428" s="35"/>
      <c r="M428" s="35"/>
      <c r="N428" s="35"/>
      <c r="O428" s="35"/>
      <c r="P428" s="35"/>
      <c r="Q428" s="35"/>
      <c r="R428" s="35"/>
      <c r="S428" s="35"/>
      <c r="T428" s="35"/>
      <c r="U428" s="35"/>
      <c r="AE428" s="65"/>
      <c r="AF428" s="65"/>
      <c r="AG428" s="65"/>
      <c r="AH428" s="65"/>
      <c r="AI428" s="65"/>
      <c r="AJ428" s="65"/>
      <c r="AK428" s="65"/>
      <c r="AL428" s="65"/>
      <c r="AM428" s="65"/>
      <c r="AN428" s="65"/>
      <c r="AO428" s="65"/>
      <c r="AP428" s="65"/>
      <c r="AQ428" s="65"/>
      <c r="AR428" s="65"/>
      <c r="AS428" s="65"/>
      <c r="AT428" s="65"/>
    </row>
    <row r="429" spans="2:46" s="32" customFormat="1" x14ac:dyDescent="0.2">
      <c r="B429" s="44"/>
      <c r="C429" s="44"/>
      <c r="D429" s="35"/>
      <c r="E429" s="35"/>
      <c r="F429" s="35"/>
      <c r="G429" s="35"/>
      <c r="H429" s="35"/>
      <c r="I429" s="35"/>
      <c r="J429" s="35"/>
      <c r="K429" s="35"/>
      <c r="L429" s="35"/>
      <c r="M429" s="35"/>
      <c r="N429" s="35"/>
      <c r="O429" s="35"/>
      <c r="P429" s="35"/>
      <c r="Q429" s="35"/>
      <c r="R429" s="35"/>
      <c r="S429" s="35"/>
      <c r="T429" s="35"/>
      <c r="U429" s="35"/>
      <c r="AE429" s="65"/>
      <c r="AF429" s="65"/>
      <c r="AG429" s="65"/>
      <c r="AH429" s="65"/>
      <c r="AI429" s="65"/>
      <c r="AJ429" s="65"/>
      <c r="AK429" s="65"/>
      <c r="AL429" s="65"/>
      <c r="AM429" s="65"/>
      <c r="AN429" s="65"/>
      <c r="AO429" s="65"/>
      <c r="AP429" s="65"/>
      <c r="AQ429" s="65"/>
      <c r="AR429" s="65"/>
      <c r="AS429" s="65"/>
      <c r="AT429" s="65"/>
    </row>
    <row r="430" spans="2:46" s="32" customFormat="1" x14ac:dyDescent="0.2">
      <c r="B430" s="44"/>
      <c r="C430" s="44"/>
      <c r="D430" s="35"/>
      <c r="E430" s="35"/>
      <c r="F430" s="35"/>
      <c r="G430" s="35"/>
      <c r="H430" s="35"/>
      <c r="I430" s="35"/>
      <c r="J430" s="35"/>
      <c r="K430" s="35"/>
      <c r="L430" s="35"/>
      <c r="M430" s="35"/>
      <c r="N430" s="35"/>
      <c r="O430" s="35"/>
      <c r="P430" s="35"/>
      <c r="Q430" s="35"/>
      <c r="R430" s="35"/>
      <c r="S430" s="35"/>
      <c r="T430" s="35"/>
      <c r="U430" s="35"/>
      <c r="AE430" s="65"/>
      <c r="AF430" s="65"/>
      <c r="AG430" s="65"/>
      <c r="AH430" s="65"/>
      <c r="AI430" s="65"/>
      <c r="AJ430" s="65"/>
      <c r="AK430" s="65"/>
      <c r="AL430" s="65"/>
      <c r="AM430" s="65"/>
      <c r="AN430" s="65"/>
      <c r="AO430" s="65"/>
      <c r="AP430" s="65"/>
      <c r="AQ430" s="65"/>
      <c r="AR430" s="65"/>
      <c r="AS430" s="65"/>
      <c r="AT430" s="65"/>
    </row>
    <row r="431" spans="2:46" s="32" customFormat="1" x14ac:dyDescent="0.2">
      <c r="B431" s="44"/>
      <c r="C431" s="44"/>
      <c r="D431" s="35"/>
      <c r="E431" s="35"/>
      <c r="F431" s="35"/>
      <c r="G431" s="35"/>
      <c r="H431" s="35"/>
      <c r="I431" s="35"/>
      <c r="J431" s="35"/>
      <c r="K431" s="35"/>
      <c r="L431" s="35"/>
      <c r="M431" s="35"/>
      <c r="N431" s="35"/>
      <c r="O431" s="35"/>
      <c r="P431" s="35"/>
      <c r="Q431" s="35"/>
      <c r="R431" s="35"/>
      <c r="S431" s="35"/>
      <c r="T431" s="35"/>
      <c r="U431" s="35"/>
      <c r="AE431" s="65"/>
      <c r="AF431" s="65"/>
      <c r="AG431" s="65"/>
      <c r="AH431" s="65"/>
      <c r="AI431" s="65"/>
      <c r="AJ431" s="65"/>
      <c r="AK431" s="65"/>
      <c r="AL431" s="65"/>
      <c r="AM431" s="65"/>
      <c r="AN431" s="65"/>
      <c r="AO431" s="65"/>
      <c r="AP431" s="65"/>
      <c r="AQ431" s="65"/>
      <c r="AR431" s="65"/>
      <c r="AS431" s="65"/>
      <c r="AT431" s="65"/>
    </row>
    <row r="432" spans="2:46" s="32" customFormat="1" x14ac:dyDescent="0.2">
      <c r="B432" s="44"/>
      <c r="C432" s="44"/>
      <c r="D432" s="35"/>
      <c r="E432" s="35"/>
      <c r="F432" s="35"/>
      <c r="G432" s="35"/>
      <c r="H432" s="35"/>
      <c r="I432" s="35"/>
      <c r="J432" s="35"/>
      <c r="K432" s="35"/>
      <c r="L432" s="35"/>
      <c r="M432" s="35"/>
      <c r="N432" s="35"/>
      <c r="O432" s="35"/>
      <c r="P432" s="35"/>
      <c r="Q432" s="35"/>
      <c r="R432" s="35"/>
      <c r="S432" s="35"/>
      <c r="T432" s="35"/>
      <c r="U432" s="35"/>
      <c r="AE432" s="65"/>
      <c r="AF432" s="65"/>
      <c r="AG432" s="65"/>
      <c r="AH432" s="65"/>
      <c r="AI432" s="65"/>
      <c r="AJ432" s="65"/>
      <c r="AK432" s="65"/>
      <c r="AL432" s="65"/>
      <c r="AM432" s="65"/>
      <c r="AN432" s="65"/>
      <c r="AO432" s="65"/>
      <c r="AP432" s="65"/>
      <c r="AQ432" s="65"/>
      <c r="AR432" s="65"/>
      <c r="AS432" s="65"/>
      <c r="AT432" s="65"/>
    </row>
    <row r="433" spans="2:46" s="32" customFormat="1" x14ac:dyDescent="0.2">
      <c r="B433" s="44"/>
      <c r="C433" s="44"/>
      <c r="D433" s="35"/>
      <c r="E433" s="35"/>
      <c r="F433" s="35"/>
      <c r="G433" s="35"/>
      <c r="H433" s="35"/>
      <c r="I433" s="35"/>
      <c r="J433" s="35"/>
      <c r="K433" s="35"/>
      <c r="L433" s="35"/>
      <c r="M433" s="35"/>
      <c r="N433" s="35"/>
      <c r="O433" s="35"/>
      <c r="P433" s="35"/>
      <c r="Q433" s="35"/>
      <c r="R433" s="35"/>
      <c r="S433" s="35"/>
      <c r="T433" s="35"/>
      <c r="U433" s="35"/>
      <c r="AE433" s="65"/>
      <c r="AF433" s="65"/>
      <c r="AG433" s="65"/>
      <c r="AH433" s="65"/>
      <c r="AI433" s="65"/>
      <c r="AJ433" s="65"/>
      <c r="AK433" s="65"/>
      <c r="AL433" s="65"/>
      <c r="AM433" s="65"/>
      <c r="AN433" s="65"/>
      <c r="AO433" s="65"/>
      <c r="AP433" s="65"/>
      <c r="AQ433" s="65"/>
      <c r="AR433" s="65"/>
      <c r="AS433" s="65"/>
      <c r="AT433" s="65"/>
    </row>
    <row r="434" spans="2:46" s="32" customFormat="1" x14ac:dyDescent="0.2">
      <c r="B434" s="44"/>
      <c r="C434" s="44"/>
      <c r="D434" s="35"/>
      <c r="E434" s="35"/>
      <c r="F434" s="35"/>
      <c r="G434" s="35"/>
      <c r="H434" s="35"/>
      <c r="I434" s="35"/>
      <c r="J434" s="35"/>
      <c r="K434" s="35"/>
      <c r="L434" s="35"/>
      <c r="M434" s="35"/>
      <c r="N434" s="35"/>
      <c r="O434" s="35"/>
      <c r="P434" s="35"/>
      <c r="Q434" s="35"/>
      <c r="R434" s="35"/>
      <c r="S434" s="35"/>
      <c r="T434" s="35"/>
      <c r="U434" s="35"/>
      <c r="AE434" s="65"/>
      <c r="AF434" s="65"/>
      <c r="AG434" s="65"/>
      <c r="AH434" s="65"/>
      <c r="AI434" s="65"/>
      <c r="AJ434" s="65"/>
      <c r="AK434" s="65"/>
      <c r="AL434" s="65"/>
      <c r="AM434" s="65"/>
      <c r="AN434" s="65"/>
      <c r="AO434" s="65"/>
      <c r="AP434" s="65"/>
      <c r="AQ434" s="65"/>
      <c r="AR434" s="65"/>
      <c r="AS434" s="65"/>
      <c r="AT434" s="65"/>
    </row>
    <row r="435" spans="2:46" s="32" customFormat="1" x14ac:dyDescent="0.2">
      <c r="B435" s="44"/>
      <c r="C435" s="44"/>
      <c r="D435" s="35"/>
      <c r="E435" s="35"/>
      <c r="F435" s="35"/>
      <c r="G435" s="35"/>
      <c r="H435" s="35"/>
      <c r="I435" s="35"/>
      <c r="J435" s="35"/>
      <c r="K435" s="35"/>
      <c r="L435" s="35"/>
      <c r="M435" s="35"/>
      <c r="N435" s="35"/>
      <c r="O435" s="35"/>
      <c r="P435" s="35"/>
      <c r="Q435" s="35"/>
      <c r="R435" s="35"/>
      <c r="S435" s="35"/>
      <c r="T435" s="35"/>
      <c r="U435" s="35"/>
      <c r="AE435" s="65"/>
      <c r="AF435" s="65"/>
      <c r="AG435" s="65"/>
      <c r="AH435" s="65"/>
      <c r="AI435" s="65"/>
      <c r="AJ435" s="65"/>
      <c r="AK435" s="65"/>
      <c r="AL435" s="65"/>
      <c r="AM435" s="65"/>
      <c r="AN435" s="65"/>
      <c r="AO435" s="65"/>
      <c r="AP435" s="65"/>
      <c r="AQ435" s="65"/>
      <c r="AR435" s="65"/>
      <c r="AS435" s="65"/>
      <c r="AT435" s="65"/>
    </row>
    <row r="436" spans="2:46" s="32" customFormat="1" x14ac:dyDescent="0.2">
      <c r="B436" s="44"/>
      <c r="C436" s="44"/>
      <c r="D436" s="35"/>
      <c r="E436" s="35"/>
      <c r="F436" s="35"/>
      <c r="G436" s="35"/>
      <c r="H436" s="35"/>
      <c r="I436" s="35"/>
      <c r="J436" s="35"/>
      <c r="K436" s="35"/>
      <c r="L436" s="35"/>
      <c r="M436" s="35"/>
      <c r="N436" s="35"/>
      <c r="O436" s="35"/>
      <c r="P436" s="35"/>
      <c r="Q436" s="35"/>
      <c r="R436" s="35"/>
      <c r="S436" s="35"/>
      <c r="T436" s="35"/>
      <c r="U436" s="35"/>
      <c r="AE436" s="65"/>
      <c r="AF436" s="65"/>
      <c r="AG436" s="65"/>
      <c r="AH436" s="65"/>
      <c r="AI436" s="65"/>
      <c r="AJ436" s="65"/>
      <c r="AK436" s="65"/>
      <c r="AL436" s="65"/>
      <c r="AM436" s="65"/>
      <c r="AN436" s="65"/>
      <c r="AO436" s="65"/>
      <c r="AP436" s="65"/>
      <c r="AQ436" s="65"/>
      <c r="AR436" s="65"/>
      <c r="AS436" s="65"/>
      <c r="AT436" s="65"/>
    </row>
    <row r="437" spans="2:46" s="32" customFormat="1" x14ac:dyDescent="0.2">
      <c r="B437" s="44"/>
      <c r="C437" s="44"/>
      <c r="D437" s="35"/>
      <c r="E437" s="35"/>
      <c r="F437" s="35"/>
      <c r="G437" s="35"/>
      <c r="H437" s="35"/>
      <c r="I437" s="35"/>
      <c r="J437" s="35"/>
      <c r="K437" s="35"/>
      <c r="L437" s="35"/>
      <c r="M437" s="35"/>
      <c r="N437" s="35"/>
      <c r="O437" s="35"/>
      <c r="P437" s="35"/>
      <c r="Q437" s="35"/>
      <c r="R437" s="35"/>
      <c r="S437" s="35"/>
      <c r="T437" s="35"/>
      <c r="U437" s="35"/>
      <c r="AE437" s="65"/>
      <c r="AF437" s="65"/>
      <c r="AG437" s="65"/>
      <c r="AH437" s="65"/>
      <c r="AI437" s="65"/>
      <c r="AJ437" s="65"/>
      <c r="AK437" s="65"/>
      <c r="AL437" s="65"/>
      <c r="AM437" s="65"/>
      <c r="AN437" s="65"/>
      <c r="AO437" s="65"/>
      <c r="AP437" s="65"/>
      <c r="AQ437" s="65"/>
      <c r="AR437" s="65"/>
      <c r="AS437" s="65"/>
      <c r="AT437" s="65"/>
    </row>
    <row r="438" spans="2:46" s="32" customFormat="1" x14ac:dyDescent="0.2">
      <c r="B438" s="44"/>
      <c r="C438" s="44"/>
      <c r="D438" s="35"/>
      <c r="E438" s="35"/>
      <c r="F438" s="35"/>
      <c r="G438" s="35"/>
      <c r="H438" s="35"/>
      <c r="I438" s="35"/>
      <c r="J438" s="35"/>
      <c r="K438" s="35"/>
      <c r="L438" s="35"/>
      <c r="M438" s="35"/>
      <c r="N438" s="35"/>
      <c r="O438" s="35"/>
      <c r="P438" s="35"/>
      <c r="Q438" s="35"/>
      <c r="R438" s="35"/>
      <c r="S438" s="35"/>
      <c r="T438" s="35"/>
      <c r="U438" s="35"/>
      <c r="AE438" s="65"/>
      <c r="AF438" s="65"/>
      <c r="AG438" s="65"/>
      <c r="AH438" s="65"/>
      <c r="AI438" s="65"/>
      <c r="AJ438" s="65"/>
      <c r="AK438" s="65"/>
      <c r="AL438" s="65"/>
      <c r="AM438" s="65"/>
      <c r="AN438" s="65"/>
      <c r="AO438" s="65"/>
      <c r="AP438" s="65"/>
      <c r="AQ438" s="65"/>
      <c r="AR438" s="65"/>
      <c r="AS438" s="65"/>
      <c r="AT438" s="65"/>
    </row>
    <row r="439" spans="2:46" s="32" customFormat="1" x14ac:dyDescent="0.2">
      <c r="B439" s="44"/>
      <c r="C439" s="44"/>
      <c r="D439" s="35"/>
      <c r="E439" s="35"/>
      <c r="F439" s="35"/>
      <c r="G439" s="35"/>
      <c r="H439" s="35"/>
      <c r="I439" s="35"/>
      <c r="J439" s="35"/>
      <c r="K439" s="35"/>
      <c r="L439" s="35"/>
      <c r="M439" s="35"/>
      <c r="N439" s="35"/>
      <c r="O439" s="35"/>
      <c r="P439" s="35"/>
      <c r="Q439" s="35"/>
      <c r="R439" s="35"/>
      <c r="S439" s="35"/>
      <c r="T439" s="35"/>
      <c r="U439" s="35"/>
      <c r="AE439" s="65"/>
      <c r="AF439" s="65"/>
      <c r="AG439" s="65"/>
      <c r="AH439" s="65"/>
      <c r="AI439" s="65"/>
      <c r="AJ439" s="65"/>
      <c r="AK439" s="65"/>
      <c r="AL439" s="65"/>
      <c r="AM439" s="65"/>
      <c r="AN439" s="65"/>
      <c r="AO439" s="65"/>
      <c r="AP439" s="65"/>
      <c r="AQ439" s="65"/>
      <c r="AR439" s="65"/>
      <c r="AS439" s="65"/>
      <c r="AT439" s="65"/>
    </row>
    <row r="440" spans="2:46" s="32" customFormat="1" x14ac:dyDescent="0.2">
      <c r="B440" s="44"/>
      <c r="C440" s="44"/>
      <c r="D440" s="35"/>
      <c r="E440" s="35"/>
      <c r="F440" s="35"/>
      <c r="G440" s="35"/>
      <c r="H440" s="35"/>
      <c r="I440" s="35"/>
      <c r="J440" s="35"/>
      <c r="K440" s="35"/>
      <c r="L440" s="35"/>
      <c r="M440" s="35"/>
      <c r="N440" s="35"/>
      <c r="O440" s="35"/>
      <c r="P440" s="35"/>
      <c r="Q440" s="35"/>
      <c r="R440" s="35"/>
      <c r="S440" s="35"/>
      <c r="T440" s="35"/>
      <c r="U440" s="35"/>
      <c r="AE440" s="65"/>
      <c r="AF440" s="65"/>
      <c r="AG440" s="65"/>
      <c r="AH440" s="65"/>
      <c r="AI440" s="65"/>
      <c r="AJ440" s="65"/>
      <c r="AK440" s="65"/>
      <c r="AL440" s="65"/>
      <c r="AM440" s="65"/>
      <c r="AN440" s="65"/>
      <c r="AO440" s="65"/>
      <c r="AP440" s="65"/>
      <c r="AQ440" s="65"/>
      <c r="AR440" s="65"/>
      <c r="AS440" s="65"/>
      <c r="AT440" s="65"/>
    </row>
    <row r="441" spans="2:46" s="32" customFormat="1" x14ac:dyDescent="0.2">
      <c r="B441" s="44"/>
      <c r="C441" s="44"/>
      <c r="D441" s="35"/>
      <c r="E441" s="35"/>
      <c r="F441" s="35"/>
      <c r="G441" s="35"/>
      <c r="H441" s="35"/>
      <c r="I441" s="35"/>
      <c r="J441" s="35"/>
      <c r="K441" s="35"/>
      <c r="L441" s="35"/>
      <c r="M441" s="35"/>
      <c r="N441" s="35"/>
      <c r="O441" s="35"/>
      <c r="P441" s="35"/>
      <c r="Q441" s="35"/>
      <c r="R441" s="35"/>
      <c r="S441" s="35"/>
      <c r="T441" s="35"/>
      <c r="U441" s="35"/>
      <c r="AE441" s="65"/>
      <c r="AF441" s="65"/>
      <c r="AG441" s="65"/>
      <c r="AH441" s="65"/>
      <c r="AI441" s="65"/>
      <c r="AJ441" s="65"/>
      <c r="AK441" s="65"/>
      <c r="AL441" s="65"/>
      <c r="AM441" s="65"/>
      <c r="AN441" s="65"/>
      <c r="AO441" s="65"/>
      <c r="AP441" s="65"/>
      <c r="AQ441" s="65"/>
      <c r="AR441" s="65"/>
      <c r="AS441" s="65"/>
      <c r="AT441" s="65"/>
    </row>
    <row r="442" spans="2:46" s="32" customFormat="1" x14ac:dyDescent="0.2">
      <c r="B442" s="44"/>
      <c r="C442" s="44"/>
      <c r="D442" s="35"/>
      <c r="E442" s="35"/>
      <c r="F442" s="35"/>
      <c r="G442" s="35"/>
      <c r="H442" s="35"/>
      <c r="I442" s="35"/>
      <c r="J442" s="35"/>
      <c r="K442" s="35"/>
      <c r="L442" s="35"/>
      <c r="M442" s="35"/>
      <c r="N442" s="35"/>
      <c r="O442" s="35"/>
      <c r="P442" s="35"/>
      <c r="Q442" s="35"/>
      <c r="R442" s="35"/>
      <c r="S442" s="35"/>
      <c r="T442" s="35"/>
      <c r="U442" s="35"/>
      <c r="AE442" s="65"/>
      <c r="AF442" s="65"/>
      <c r="AG442" s="65"/>
      <c r="AH442" s="65"/>
      <c r="AI442" s="65"/>
      <c r="AJ442" s="65"/>
      <c r="AK442" s="65"/>
      <c r="AL442" s="65"/>
      <c r="AM442" s="65"/>
      <c r="AN442" s="65"/>
      <c r="AO442" s="65"/>
      <c r="AP442" s="65"/>
      <c r="AQ442" s="65"/>
      <c r="AR442" s="65"/>
      <c r="AS442" s="65"/>
      <c r="AT442" s="65"/>
    </row>
    <row r="443" spans="2:46" s="32" customFormat="1" x14ac:dyDescent="0.2">
      <c r="B443" s="44"/>
      <c r="C443" s="44"/>
      <c r="D443" s="35"/>
      <c r="E443" s="35"/>
      <c r="F443" s="35"/>
      <c r="G443" s="35"/>
      <c r="H443" s="35"/>
      <c r="I443" s="35"/>
      <c r="J443" s="35"/>
      <c r="K443" s="35"/>
      <c r="L443" s="35"/>
      <c r="M443" s="35"/>
      <c r="N443" s="35"/>
      <c r="O443" s="35"/>
      <c r="P443" s="35"/>
      <c r="Q443" s="35"/>
      <c r="R443" s="35"/>
      <c r="S443" s="35"/>
      <c r="T443" s="35"/>
      <c r="U443" s="35"/>
      <c r="AE443" s="65"/>
      <c r="AF443" s="65"/>
      <c r="AG443" s="65"/>
      <c r="AH443" s="65"/>
      <c r="AI443" s="65"/>
      <c r="AJ443" s="65"/>
      <c r="AK443" s="65"/>
      <c r="AL443" s="65"/>
      <c r="AM443" s="65"/>
      <c r="AN443" s="65"/>
      <c r="AO443" s="65"/>
      <c r="AP443" s="65"/>
      <c r="AQ443" s="65"/>
      <c r="AR443" s="65"/>
      <c r="AS443" s="65"/>
      <c r="AT443" s="65"/>
    </row>
    <row r="444" spans="2:46" s="32" customFormat="1" x14ac:dyDescent="0.2">
      <c r="B444" s="44"/>
      <c r="C444" s="44"/>
      <c r="D444" s="35"/>
      <c r="E444" s="35"/>
      <c r="F444" s="35"/>
      <c r="G444" s="35"/>
      <c r="H444" s="35"/>
      <c r="I444" s="35"/>
      <c r="J444" s="35"/>
      <c r="K444" s="35"/>
      <c r="L444" s="35"/>
      <c r="M444" s="35"/>
      <c r="N444" s="35"/>
      <c r="O444" s="35"/>
      <c r="P444" s="35"/>
      <c r="Q444" s="35"/>
      <c r="R444" s="35"/>
      <c r="S444" s="35"/>
      <c r="T444" s="35"/>
      <c r="U444" s="35"/>
      <c r="AE444" s="65"/>
      <c r="AF444" s="65"/>
      <c r="AG444" s="65"/>
      <c r="AH444" s="65"/>
      <c r="AI444" s="65"/>
      <c r="AJ444" s="65"/>
      <c r="AK444" s="65"/>
      <c r="AL444" s="65"/>
      <c r="AM444" s="65"/>
      <c r="AN444" s="65"/>
      <c r="AO444" s="65"/>
      <c r="AP444" s="65"/>
      <c r="AQ444" s="65"/>
      <c r="AR444" s="65"/>
      <c r="AS444" s="65"/>
      <c r="AT444" s="65"/>
    </row>
    <row r="445" spans="2:46" s="32" customFormat="1" x14ac:dyDescent="0.2">
      <c r="B445" s="44"/>
      <c r="C445" s="44"/>
      <c r="D445" s="35"/>
      <c r="E445" s="35"/>
      <c r="F445" s="35"/>
      <c r="G445" s="35"/>
      <c r="H445" s="35"/>
      <c r="I445" s="35"/>
      <c r="J445" s="35"/>
      <c r="K445" s="35"/>
      <c r="L445" s="35"/>
      <c r="M445" s="35"/>
      <c r="N445" s="35"/>
      <c r="O445" s="35"/>
      <c r="P445" s="35"/>
      <c r="Q445" s="35"/>
      <c r="R445" s="35"/>
      <c r="S445" s="35"/>
      <c r="T445" s="35"/>
      <c r="U445" s="35"/>
      <c r="AE445" s="65"/>
      <c r="AF445" s="65"/>
      <c r="AG445" s="65"/>
      <c r="AH445" s="65"/>
      <c r="AI445" s="65"/>
      <c r="AJ445" s="65"/>
      <c r="AK445" s="65"/>
      <c r="AL445" s="65"/>
      <c r="AM445" s="65"/>
      <c r="AN445" s="65"/>
      <c r="AO445" s="65"/>
      <c r="AP445" s="65"/>
      <c r="AQ445" s="65"/>
      <c r="AR445" s="65"/>
      <c r="AS445" s="65"/>
      <c r="AT445" s="65"/>
    </row>
    <row r="446" spans="2:46" s="32" customFormat="1" x14ac:dyDescent="0.2">
      <c r="B446" s="44"/>
      <c r="C446" s="44"/>
      <c r="D446" s="35"/>
      <c r="E446" s="35"/>
      <c r="F446" s="35"/>
      <c r="G446" s="35"/>
      <c r="H446" s="35"/>
      <c r="I446" s="35"/>
      <c r="J446" s="35"/>
      <c r="K446" s="35"/>
      <c r="L446" s="35"/>
      <c r="M446" s="35"/>
      <c r="N446" s="35"/>
      <c r="O446" s="35"/>
      <c r="P446" s="35"/>
      <c r="Q446" s="35"/>
      <c r="R446" s="35"/>
      <c r="S446" s="35"/>
      <c r="T446" s="35"/>
      <c r="U446" s="35"/>
      <c r="AE446" s="65"/>
      <c r="AF446" s="65"/>
      <c r="AG446" s="65"/>
      <c r="AH446" s="65"/>
      <c r="AI446" s="65"/>
      <c r="AJ446" s="65"/>
      <c r="AK446" s="65"/>
      <c r="AL446" s="65"/>
      <c r="AM446" s="65"/>
      <c r="AN446" s="65"/>
      <c r="AO446" s="65"/>
      <c r="AP446" s="65"/>
      <c r="AQ446" s="65"/>
      <c r="AR446" s="65"/>
      <c r="AS446" s="65"/>
      <c r="AT446" s="65"/>
    </row>
    <row r="447" spans="2:46" s="32" customFormat="1" x14ac:dyDescent="0.2">
      <c r="B447" s="44"/>
      <c r="C447" s="44"/>
      <c r="D447" s="35"/>
      <c r="E447" s="35"/>
      <c r="F447" s="35"/>
      <c r="G447" s="35"/>
      <c r="H447" s="35"/>
      <c r="I447" s="35"/>
      <c r="J447" s="35"/>
      <c r="K447" s="35"/>
      <c r="L447" s="35"/>
      <c r="M447" s="35"/>
      <c r="N447" s="35"/>
      <c r="O447" s="35"/>
      <c r="P447" s="35"/>
      <c r="Q447" s="35"/>
      <c r="R447" s="35"/>
      <c r="S447" s="35"/>
      <c r="T447" s="35"/>
      <c r="U447" s="35"/>
      <c r="AE447" s="65"/>
      <c r="AF447" s="65"/>
      <c r="AG447" s="65"/>
      <c r="AH447" s="65"/>
      <c r="AI447" s="65"/>
      <c r="AJ447" s="65"/>
      <c r="AK447" s="65"/>
      <c r="AL447" s="65"/>
      <c r="AM447" s="65"/>
      <c r="AN447" s="65"/>
      <c r="AO447" s="65"/>
      <c r="AP447" s="65"/>
      <c r="AQ447" s="65"/>
      <c r="AR447" s="65"/>
      <c r="AS447" s="65"/>
      <c r="AT447" s="65"/>
    </row>
    <row r="448" spans="2:46" s="32" customFormat="1" x14ac:dyDescent="0.2">
      <c r="B448" s="44"/>
      <c r="C448" s="44"/>
      <c r="D448" s="35"/>
      <c r="E448" s="35"/>
      <c r="F448" s="35"/>
      <c r="G448" s="35"/>
      <c r="H448" s="35"/>
      <c r="I448" s="35"/>
      <c r="J448" s="35"/>
      <c r="K448" s="35"/>
      <c r="L448" s="35"/>
      <c r="M448" s="35"/>
      <c r="N448" s="35"/>
      <c r="O448" s="35"/>
      <c r="P448" s="35"/>
      <c r="Q448" s="35"/>
      <c r="R448" s="35"/>
      <c r="S448" s="35"/>
      <c r="T448" s="35"/>
      <c r="U448" s="35"/>
      <c r="AE448" s="65"/>
      <c r="AF448" s="65"/>
      <c r="AG448" s="65"/>
      <c r="AH448" s="65"/>
      <c r="AI448" s="65"/>
      <c r="AJ448" s="65"/>
      <c r="AK448" s="65"/>
      <c r="AL448" s="65"/>
      <c r="AM448" s="65"/>
      <c r="AN448" s="65"/>
      <c r="AO448" s="65"/>
      <c r="AP448" s="65"/>
      <c r="AQ448" s="65"/>
      <c r="AR448" s="65"/>
      <c r="AS448" s="65"/>
      <c r="AT448" s="65"/>
    </row>
    <row r="449" spans="2:46" s="32" customFormat="1" x14ac:dyDescent="0.2">
      <c r="B449" s="44"/>
      <c r="C449" s="44"/>
      <c r="D449" s="35"/>
      <c r="E449" s="35"/>
      <c r="F449" s="35"/>
      <c r="G449" s="35"/>
      <c r="H449" s="35"/>
      <c r="I449" s="35"/>
      <c r="J449" s="35"/>
      <c r="K449" s="35"/>
      <c r="L449" s="35"/>
      <c r="M449" s="35"/>
      <c r="N449" s="35"/>
      <c r="O449" s="35"/>
      <c r="P449" s="35"/>
      <c r="Q449" s="35"/>
      <c r="R449" s="35"/>
      <c r="S449" s="35"/>
      <c r="T449" s="35"/>
      <c r="U449" s="35"/>
      <c r="AE449" s="65"/>
      <c r="AF449" s="65"/>
      <c r="AG449" s="65"/>
      <c r="AH449" s="65"/>
      <c r="AI449" s="65"/>
      <c r="AJ449" s="65"/>
      <c r="AK449" s="65"/>
      <c r="AL449" s="65"/>
      <c r="AM449" s="65"/>
      <c r="AN449" s="65"/>
      <c r="AO449" s="65"/>
      <c r="AP449" s="65"/>
      <c r="AQ449" s="65"/>
      <c r="AR449" s="65"/>
      <c r="AS449" s="65"/>
      <c r="AT449" s="65"/>
    </row>
    <row r="450" spans="2:46" s="32" customFormat="1" x14ac:dyDescent="0.2">
      <c r="B450" s="44"/>
      <c r="C450" s="44"/>
      <c r="D450" s="35"/>
      <c r="E450" s="35"/>
      <c r="F450" s="35"/>
      <c r="G450" s="35"/>
      <c r="H450" s="35"/>
      <c r="I450" s="35"/>
      <c r="J450" s="35"/>
      <c r="K450" s="35"/>
      <c r="L450" s="35"/>
      <c r="M450" s="35"/>
      <c r="N450" s="35"/>
      <c r="O450" s="35"/>
      <c r="P450" s="35"/>
      <c r="Q450" s="35"/>
      <c r="R450" s="35"/>
      <c r="S450" s="35"/>
      <c r="T450" s="35"/>
      <c r="U450" s="35"/>
      <c r="AE450" s="65"/>
      <c r="AF450" s="65"/>
      <c r="AG450" s="65"/>
      <c r="AH450" s="65"/>
      <c r="AI450" s="65"/>
      <c r="AJ450" s="65"/>
      <c r="AK450" s="65"/>
      <c r="AL450" s="65"/>
      <c r="AM450" s="65"/>
      <c r="AN450" s="65"/>
      <c r="AO450" s="65"/>
      <c r="AP450" s="65"/>
      <c r="AQ450" s="65"/>
      <c r="AR450" s="65"/>
      <c r="AS450" s="65"/>
      <c r="AT450" s="65"/>
    </row>
    <row r="451" spans="2:46" s="32" customFormat="1" x14ac:dyDescent="0.2">
      <c r="B451" s="44"/>
      <c r="C451" s="44"/>
      <c r="D451" s="35"/>
      <c r="E451" s="35"/>
      <c r="F451" s="35"/>
      <c r="G451" s="35"/>
      <c r="H451" s="35"/>
      <c r="I451" s="35"/>
      <c r="J451" s="35"/>
      <c r="K451" s="35"/>
      <c r="L451" s="35"/>
      <c r="M451" s="35"/>
      <c r="N451" s="35"/>
      <c r="O451" s="35"/>
      <c r="P451" s="35"/>
      <c r="Q451" s="35"/>
      <c r="R451" s="35"/>
      <c r="S451" s="35"/>
      <c r="T451" s="35"/>
      <c r="U451" s="35"/>
      <c r="AE451" s="65"/>
      <c r="AF451" s="65"/>
      <c r="AG451" s="65"/>
      <c r="AH451" s="65"/>
      <c r="AI451" s="65"/>
      <c r="AJ451" s="65"/>
      <c r="AK451" s="65"/>
      <c r="AL451" s="65"/>
      <c r="AM451" s="65"/>
      <c r="AN451" s="65"/>
      <c r="AO451" s="65"/>
      <c r="AP451" s="65"/>
      <c r="AQ451" s="65"/>
      <c r="AR451" s="65"/>
      <c r="AS451" s="65"/>
      <c r="AT451" s="65"/>
    </row>
    <row r="452" spans="2:46" s="32" customFormat="1" x14ac:dyDescent="0.2">
      <c r="B452" s="44"/>
      <c r="C452" s="44"/>
      <c r="D452" s="35"/>
      <c r="E452" s="35"/>
      <c r="F452" s="35"/>
      <c r="G452" s="35"/>
      <c r="H452" s="35"/>
      <c r="I452" s="35"/>
      <c r="J452" s="35"/>
      <c r="K452" s="35"/>
      <c r="L452" s="35"/>
      <c r="M452" s="35"/>
      <c r="N452" s="35"/>
      <c r="O452" s="35"/>
      <c r="P452" s="35"/>
      <c r="Q452" s="35"/>
      <c r="R452" s="35"/>
      <c r="S452" s="35"/>
      <c r="T452" s="35"/>
      <c r="U452" s="35"/>
      <c r="AE452" s="65"/>
      <c r="AF452" s="65"/>
      <c r="AG452" s="65"/>
      <c r="AH452" s="65"/>
      <c r="AI452" s="65"/>
      <c r="AJ452" s="65"/>
      <c r="AK452" s="65"/>
      <c r="AL452" s="65"/>
      <c r="AM452" s="65"/>
      <c r="AN452" s="65"/>
      <c r="AO452" s="65"/>
      <c r="AP452" s="65"/>
      <c r="AQ452" s="65"/>
      <c r="AR452" s="65"/>
      <c r="AS452" s="65"/>
      <c r="AT452" s="65"/>
    </row>
    <row r="453" spans="2:46" s="32" customFormat="1" x14ac:dyDescent="0.2">
      <c r="B453" s="44"/>
      <c r="C453" s="44"/>
      <c r="D453" s="35"/>
      <c r="E453" s="35"/>
      <c r="F453" s="35"/>
      <c r="G453" s="35"/>
      <c r="H453" s="35"/>
      <c r="I453" s="35"/>
      <c r="J453" s="35"/>
      <c r="K453" s="35"/>
      <c r="L453" s="35"/>
      <c r="M453" s="35"/>
      <c r="N453" s="35"/>
      <c r="O453" s="35"/>
      <c r="P453" s="35"/>
      <c r="Q453" s="35"/>
      <c r="R453" s="35"/>
      <c r="S453" s="35"/>
      <c r="T453" s="35"/>
      <c r="U453" s="35"/>
      <c r="AE453" s="65"/>
      <c r="AF453" s="65"/>
      <c r="AG453" s="65"/>
      <c r="AH453" s="65"/>
      <c r="AI453" s="65"/>
      <c r="AJ453" s="65"/>
      <c r="AK453" s="65"/>
      <c r="AL453" s="65"/>
      <c r="AM453" s="65"/>
      <c r="AN453" s="65"/>
      <c r="AO453" s="65"/>
      <c r="AP453" s="65"/>
      <c r="AQ453" s="65"/>
      <c r="AR453" s="65"/>
      <c r="AS453" s="65"/>
      <c r="AT453" s="65"/>
    </row>
    <row r="454" spans="2:46" s="32" customFormat="1" x14ac:dyDescent="0.2">
      <c r="B454" s="44"/>
      <c r="C454" s="44"/>
      <c r="D454" s="35"/>
      <c r="E454" s="35"/>
      <c r="F454" s="35"/>
      <c r="G454" s="35"/>
      <c r="H454" s="35"/>
      <c r="I454" s="35"/>
      <c r="J454" s="35"/>
      <c r="K454" s="35"/>
      <c r="L454" s="35"/>
      <c r="M454" s="35"/>
      <c r="N454" s="35"/>
      <c r="O454" s="35"/>
      <c r="P454" s="35"/>
      <c r="Q454" s="35"/>
      <c r="R454" s="35"/>
      <c r="S454" s="35"/>
      <c r="T454" s="35"/>
      <c r="U454" s="35"/>
      <c r="AE454" s="65"/>
      <c r="AF454" s="65"/>
      <c r="AG454" s="65"/>
      <c r="AH454" s="65"/>
      <c r="AI454" s="65"/>
      <c r="AJ454" s="65"/>
      <c r="AK454" s="65"/>
      <c r="AL454" s="65"/>
      <c r="AM454" s="65"/>
      <c r="AN454" s="65"/>
      <c r="AO454" s="65"/>
      <c r="AP454" s="65"/>
      <c r="AQ454" s="65"/>
      <c r="AR454" s="65"/>
      <c r="AS454" s="65"/>
      <c r="AT454" s="65"/>
    </row>
    <row r="455" spans="2:46" s="32" customFormat="1" x14ac:dyDescent="0.2">
      <c r="B455" s="44"/>
      <c r="C455" s="44"/>
      <c r="D455" s="35"/>
      <c r="E455" s="35"/>
      <c r="F455" s="35"/>
      <c r="G455" s="35"/>
      <c r="H455" s="35"/>
      <c r="I455" s="35"/>
      <c r="J455" s="35"/>
      <c r="K455" s="35"/>
      <c r="L455" s="35"/>
      <c r="M455" s="35"/>
      <c r="N455" s="35"/>
      <c r="O455" s="35"/>
      <c r="P455" s="35"/>
      <c r="Q455" s="35"/>
      <c r="R455" s="35"/>
      <c r="S455" s="35"/>
      <c r="T455" s="35"/>
      <c r="U455" s="35"/>
      <c r="AE455" s="65"/>
      <c r="AF455" s="65"/>
      <c r="AG455" s="65"/>
      <c r="AH455" s="65"/>
      <c r="AI455" s="65"/>
      <c r="AJ455" s="65"/>
      <c r="AK455" s="65"/>
      <c r="AL455" s="65"/>
      <c r="AM455" s="65"/>
      <c r="AN455" s="65"/>
      <c r="AO455" s="65"/>
      <c r="AP455" s="65"/>
      <c r="AQ455" s="65"/>
      <c r="AR455" s="65"/>
      <c r="AS455" s="65"/>
      <c r="AT455" s="65"/>
    </row>
    <row r="456" spans="2:46" s="32" customFormat="1" x14ac:dyDescent="0.2">
      <c r="B456" s="44"/>
      <c r="C456" s="44"/>
      <c r="D456" s="35"/>
      <c r="E456" s="35"/>
      <c r="F456" s="35"/>
      <c r="G456" s="35"/>
      <c r="H456" s="35"/>
      <c r="I456" s="35"/>
      <c r="J456" s="35"/>
      <c r="K456" s="35"/>
      <c r="L456" s="35"/>
      <c r="M456" s="35"/>
      <c r="N456" s="35"/>
      <c r="O456" s="35"/>
      <c r="P456" s="35"/>
      <c r="Q456" s="35"/>
      <c r="R456" s="35"/>
      <c r="S456" s="35"/>
      <c r="T456" s="35"/>
      <c r="U456" s="35"/>
      <c r="AE456" s="65"/>
      <c r="AF456" s="65"/>
      <c r="AG456" s="65"/>
      <c r="AH456" s="65"/>
      <c r="AI456" s="65"/>
      <c r="AJ456" s="65"/>
      <c r="AK456" s="65"/>
      <c r="AL456" s="65"/>
      <c r="AM456" s="65"/>
      <c r="AN456" s="65"/>
      <c r="AO456" s="65"/>
      <c r="AP456" s="65"/>
      <c r="AQ456" s="65"/>
      <c r="AR456" s="65"/>
      <c r="AS456" s="65"/>
      <c r="AT456" s="65"/>
    </row>
    <row r="457" spans="2:46" s="32" customFormat="1" x14ac:dyDescent="0.2">
      <c r="B457" s="44"/>
      <c r="C457" s="44"/>
      <c r="D457" s="35"/>
      <c r="E457" s="35"/>
      <c r="F457" s="35"/>
      <c r="G457" s="35"/>
      <c r="H457" s="35"/>
      <c r="I457" s="35"/>
      <c r="J457" s="35"/>
      <c r="K457" s="35"/>
      <c r="L457" s="35"/>
      <c r="M457" s="35"/>
      <c r="N457" s="35"/>
      <c r="O457" s="35"/>
      <c r="P457" s="35"/>
      <c r="Q457" s="35"/>
      <c r="R457" s="35"/>
      <c r="S457" s="35"/>
      <c r="T457" s="35"/>
      <c r="U457" s="35"/>
      <c r="AE457" s="65"/>
      <c r="AF457" s="65"/>
      <c r="AG457" s="65"/>
      <c r="AH457" s="65"/>
      <c r="AI457" s="65"/>
      <c r="AJ457" s="65"/>
      <c r="AK457" s="65"/>
      <c r="AL457" s="65"/>
      <c r="AM457" s="65"/>
      <c r="AN457" s="65"/>
      <c r="AO457" s="65"/>
      <c r="AP457" s="65"/>
      <c r="AQ457" s="65"/>
      <c r="AR457" s="65"/>
      <c r="AS457" s="65"/>
      <c r="AT457" s="65"/>
    </row>
    <row r="458" spans="2:46" s="32" customFormat="1" x14ac:dyDescent="0.2">
      <c r="B458" s="44"/>
      <c r="C458" s="44"/>
      <c r="D458" s="35"/>
      <c r="E458" s="35"/>
      <c r="F458" s="35"/>
      <c r="G458" s="35"/>
      <c r="H458" s="35"/>
      <c r="I458" s="35"/>
      <c r="J458" s="35"/>
      <c r="K458" s="35"/>
      <c r="L458" s="35"/>
      <c r="M458" s="35"/>
      <c r="N458" s="35"/>
      <c r="O458" s="35"/>
      <c r="P458" s="35"/>
      <c r="Q458" s="35"/>
      <c r="R458" s="35"/>
      <c r="S458" s="35"/>
      <c r="T458" s="35"/>
      <c r="U458" s="35"/>
      <c r="AE458" s="65"/>
      <c r="AF458" s="65"/>
      <c r="AG458" s="65"/>
      <c r="AH458" s="65"/>
      <c r="AI458" s="65"/>
      <c r="AJ458" s="65"/>
      <c r="AK458" s="65"/>
      <c r="AL458" s="65"/>
      <c r="AM458" s="65"/>
      <c r="AN458" s="65"/>
      <c r="AO458" s="65"/>
      <c r="AP458" s="65"/>
      <c r="AQ458" s="65"/>
      <c r="AR458" s="65"/>
      <c r="AS458" s="65"/>
      <c r="AT458" s="65"/>
    </row>
    <row r="459" spans="2:46" s="32" customFormat="1" x14ac:dyDescent="0.2">
      <c r="B459" s="44"/>
      <c r="C459" s="44"/>
      <c r="D459" s="35"/>
      <c r="E459" s="35"/>
      <c r="F459" s="35"/>
      <c r="G459" s="35"/>
      <c r="H459" s="35"/>
      <c r="I459" s="35"/>
      <c r="J459" s="35"/>
      <c r="K459" s="35"/>
      <c r="L459" s="35"/>
      <c r="M459" s="35"/>
      <c r="N459" s="35"/>
      <c r="O459" s="35"/>
      <c r="P459" s="35"/>
      <c r="Q459" s="35"/>
      <c r="R459" s="35"/>
      <c r="S459" s="35"/>
      <c r="T459" s="35"/>
      <c r="U459" s="35"/>
      <c r="AE459" s="65"/>
      <c r="AF459" s="65"/>
      <c r="AG459" s="65"/>
      <c r="AH459" s="65"/>
      <c r="AI459" s="65"/>
      <c r="AJ459" s="65"/>
      <c r="AK459" s="65"/>
      <c r="AL459" s="65"/>
      <c r="AM459" s="65"/>
      <c r="AN459" s="65"/>
      <c r="AO459" s="65"/>
      <c r="AP459" s="65"/>
      <c r="AQ459" s="65"/>
      <c r="AR459" s="65"/>
      <c r="AS459" s="65"/>
      <c r="AT459" s="65"/>
    </row>
    <row r="460" spans="2:46" s="32" customFormat="1" x14ac:dyDescent="0.2">
      <c r="B460" s="44"/>
      <c r="C460" s="44"/>
      <c r="D460" s="35"/>
      <c r="E460" s="35"/>
      <c r="F460" s="35"/>
      <c r="G460" s="35"/>
      <c r="H460" s="35"/>
      <c r="I460" s="35"/>
      <c r="J460" s="35"/>
      <c r="K460" s="35"/>
      <c r="L460" s="35"/>
      <c r="M460" s="35"/>
      <c r="N460" s="35"/>
      <c r="O460" s="35"/>
      <c r="P460" s="35"/>
      <c r="Q460" s="35"/>
      <c r="R460" s="35"/>
      <c r="S460" s="35"/>
      <c r="T460" s="35"/>
      <c r="U460" s="35"/>
      <c r="AE460" s="65"/>
      <c r="AF460" s="65"/>
      <c r="AG460" s="65"/>
      <c r="AH460" s="65"/>
      <c r="AI460" s="65"/>
      <c r="AJ460" s="65"/>
      <c r="AK460" s="65"/>
      <c r="AL460" s="65"/>
      <c r="AM460" s="65"/>
      <c r="AN460" s="65"/>
      <c r="AO460" s="65"/>
      <c r="AP460" s="65"/>
      <c r="AQ460" s="65"/>
      <c r="AR460" s="65"/>
      <c r="AS460" s="65"/>
      <c r="AT460" s="65"/>
    </row>
    <row r="461" spans="2:46" s="32" customFormat="1" x14ac:dyDescent="0.2">
      <c r="B461" s="44"/>
      <c r="C461" s="44"/>
      <c r="D461" s="35"/>
      <c r="E461" s="35"/>
      <c r="F461" s="35"/>
      <c r="G461" s="35"/>
      <c r="H461" s="35"/>
      <c r="I461" s="35"/>
      <c r="J461" s="35"/>
      <c r="K461" s="35"/>
      <c r="L461" s="35"/>
      <c r="M461" s="35"/>
      <c r="N461" s="35"/>
      <c r="O461" s="35"/>
      <c r="P461" s="35"/>
      <c r="Q461" s="35"/>
      <c r="R461" s="35"/>
      <c r="S461" s="35"/>
      <c r="T461" s="35"/>
      <c r="U461" s="35"/>
      <c r="AE461" s="65"/>
      <c r="AF461" s="65"/>
      <c r="AG461" s="65"/>
      <c r="AH461" s="65"/>
      <c r="AI461" s="65"/>
      <c r="AJ461" s="65"/>
      <c r="AK461" s="65"/>
      <c r="AL461" s="65"/>
      <c r="AM461" s="65"/>
      <c r="AN461" s="65"/>
      <c r="AO461" s="65"/>
      <c r="AP461" s="65"/>
      <c r="AQ461" s="65"/>
      <c r="AR461" s="65"/>
      <c r="AS461" s="65"/>
      <c r="AT461" s="65"/>
    </row>
    <row r="462" spans="2:46" s="32" customFormat="1" x14ac:dyDescent="0.2">
      <c r="B462" s="44"/>
      <c r="C462" s="44"/>
      <c r="D462" s="35"/>
      <c r="E462" s="35"/>
      <c r="F462" s="35"/>
      <c r="G462" s="35"/>
      <c r="H462" s="35"/>
      <c r="I462" s="35"/>
      <c r="J462" s="35"/>
      <c r="K462" s="35"/>
      <c r="L462" s="35"/>
      <c r="M462" s="35"/>
      <c r="N462" s="35"/>
      <c r="O462" s="35"/>
      <c r="P462" s="35"/>
      <c r="Q462" s="35"/>
      <c r="R462" s="35"/>
      <c r="S462" s="35"/>
      <c r="T462" s="35"/>
      <c r="U462" s="35"/>
      <c r="AE462" s="65"/>
      <c r="AF462" s="65"/>
      <c r="AG462" s="65"/>
      <c r="AH462" s="65"/>
      <c r="AI462" s="65"/>
      <c r="AJ462" s="65"/>
      <c r="AK462" s="65"/>
      <c r="AL462" s="65"/>
      <c r="AM462" s="65"/>
      <c r="AN462" s="65"/>
      <c r="AO462" s="65"/>
      <c r="AP462" s="65"/>
      <c r="AQ462" s="65"/>
      <c r="AR462" s="65"/>
      <c r="AS462" s="65"/>
      <c r="AT462" s="65"/>
    </row>
    <row r="463" spans="2:46" s="32" customFormat="1" x14ac:dyDescent="0.2">
      <c r="B463" s="44"/>
      <c r="C463" s="44"/>
      <c r="D463" s="35"/>
      <c r="E463" s="35"/>
      <c r="F463" s="35"/>
      <c r="G463" s="35"/>
      <c r="H463" s="35"/>
      <c r="I463" s="35"/>
      <c r="J463" s="35"/>
      <c r="K463" s="35"/>
      <c r="L463" s="35"/>
      <c r="M463" s="35"/>
      <c r="N463" s="35"/>
      <c r="O463" s="35"/>
      <c r="P463" s="35"/>
      <c r="Q463" s="35"/>
      <c r="R463" s="35"/>
      <c r="S463" s="35"/>
      <c r="T463" s="35"/>
      <c r="U463" s="35"/>
      <c r="AE463" s="65"/>
      <c r="AF463" s="65"/>
      <c r="AG463" s="65"/>
      <c r="AH463" s="65"/>
      <c r="AI463" s="65"/>
      <c r="AJ463" s="65"/>
      <c r="AK463" s="65"/>
      <c r="AL463" s="65"/>
      <c r="AM463" s="65"/>
      <c r="AN463" s="65"/>
      <c r="AO463" s="65"/>
      <c r="AP463" s="65"/>
      <c r="AQ463" s="65"/>
      <c r="AR463" s="65"/>
      <c r="AS463" s="65"/>
      <c r="AT463" s="65"/>
    </row>
    <row r="464" spans="2:46" s="32" customFormat="1" x14ac:dyDescent="0.2">
      <c r="B464" s="44"/>
      <c r="C464" s="44"/>
      <c r="D464" s="35"/>
      <c r="E464" s="35"/>
      <c r="F464" s="35"/>
      <c r="G464" s="35"/>
      <c r="H464" s="35"/>
      <c r="I464" s="35"/>
      <c r="J464" s="35"/>
      <c r="K464" s="35"/>
      <c r="L464" s="35"/>
      <c r="M464" s="35"/>
      <c r="N464" s="35"/>
      <c r="O464" s="35"/>
      <c r="P464" s="35"/>
      <c r="Q464" s="35"/>
      <c r="R464" s="35"/>
      <c r="S464" s="35"/>
      <c r="T464" s="35"/>
      <c r="U464" s="35"/>
      <c r="AE464" s="65"/>
      <c r="AF464" s="65"/>
      <c r="AG464" s="65"/>
      <c r="AH464" s="65"/>
      <c r="AI464" s="65"/>
      <c r="AJ464" s="65"/>
      <c r="AK464" s="65"/>
      <c r="AL464" s="65"/>
      <c r="AM464" s="65"/>
      <c r="AN464" s="65"/>
      <c r="AO464" s="65"/>
      <c r="AP464" s="65"/>
      <c r="AQ464" s="65"/>
      <c r="AR464" s="65"/>
      <c r="AS464" s="65"/>
      <c r="AT464" s="65"/>
    </row>
    <row r="465" spans="2:46" s="32" customFormat="1" x14ac:dyDescent="0.2">
      <c r="B465" s="44"/>
      <c r="C465" s="44"/>
      <c r="D465" s="35"/>
      <c r="E465" s="35"/>
      <c r="F465" s="35"/>
      <c r="G465" s="35"/>
      <c r="H465" s="35"/>
      <c r="I465" s="35"/>
      <c r="J465" s="35"/>
      <c r="K465" s="35"/>
      <c r="L465" s="35"/>
      <c r="M465" s="35"/>
      <c r="N465" s="35"/>
      <c r="O465" s="35"/>
      <c r="P465" s="35"/>
      <c r="Q465" s="35"/>
      <c r="R465" s="35"/>
      <c r="S465" s="35"/>
      <c r="T465" s="35"/>
      <c r="U465" s="35"/>
      <c r="AE465" s="65"/>
      <c r="AF465" s="65"/>
      <c r="AG465" s="65"/>
      <c r="AH465" s="65"/>
      <c r="AI465" s="65"/>
      <c r="AJ465" s="65"/>
      <c r="AK465" s="65"/>
      <c r="AL465" s="65"/>
      <c r="AM465" s="65"/>
      <c r="AN465" s="65"/>
      <c r="AO465" s="65"/>
      <c r="AP465" s="65"/>
      <c r="AQ465" s="65"/>
      <c r="AR465" s="65"/>
      <c r="AS465" s="65"/>
      <c r="AT465" s="65"/>
    </row>
    <row r="466" spans="2:46" s="32" customFormat="1" x14ac:dyDescent="0.2">
      <c r="B466" s="44"/>
      <c r="C466" s="44"/>
      <c r="D466" s="35"/>
      <c r="E466" s="35"/>
      <c r="F466" s="35"/>
      <c r="G466" s="35"/>
      <c r="H466" s="35"/>
      <c r="I466" s="35"/>
      <c r="J466" s="35"/>
      <c r="K466" s="35"/>
      <c r="L466" s="35"/>
      <c r="M466" s="35"/>
      <c r="N466" s="35"/>
      <c r="O466" s="35"/>
      <c r="P466" s="35"/>
      <c r="Q466" s="35"/>
      <c r="R466" s="35"/>
      <c r="S466" s="35"/>
      <c r="T466" s="35"/>
      <c r="U466" s="35"/>
      <c r="AE466" s="65"/>
      <c r="AF466" s="65"/>
      <c r="AG466" s="65"/>
      <c r="AH466" s="65"/>
      <c r="AI466" s="65"/>
      <c r="AJ466" s="65"/>
      <c r="AK466" s="65"/>
      <c r="AL466" s="65"/>
      <c r="AM466" s="65"/>
      <c r="AN466" s="65"/>
      <c r="AO466" s="65"/>
      <c r="AP466" s="65"/>
      <c r="AQ466" s="65"/>
      <c r="AR466" s="65"/>
      <c r="AS466" s="65"/>
      <c r="AT466" s="65"/>
    </row>
    <row r="467" spans="2:46" s="32" customFormat="1" x14ac:dyDescent="0.2">
      <c r="B467" s="44"/>
      <c r="C467" s="44"/>
      <c r="D467" s="35"/>
      <c r="E467" s="35"/>
      <c r="F467" s="35"/>
      <c r="G467" s="35"/>
      <c r="H467" s="35"/>
      <c r="I467" s="35"/>
      <c r="J467" s="35"/>
      <c r="K467" s="35"/>
      <c r="L467" s="35"/>
      <c r="M467" s="35"/>
      <c r="N467" s="35"/>
      <c r="O467" s="35"/>
      <c r="P467" s="35"/>
      <c r="Q467" s="35"/>
      <c r="R467" s="35"/>
      <c r="S467" s="35"/>
      <c r="T467" s="35"/>
      <c r="U467" s="35"/>
      <c r="AE467" s="65"/>
      <c r="AF467" s="65"/>
      <c r="AG467" s="65"/>
      <c r="AH467" s="65"/>
      <c r="AI467" s="65"/>
      <c r="AJ467" s="65"/>
      <c r="AK467" s="65"/>
      <c r="AL467" s="65"/>
      <c r="AM467" s="65"/>
      <c r="AN467" s="65"/>
      <c r="AO467" s="65"/>
      <c r="AP467" s="65"/>
      <c r="AQ467" s="65"/>
      <c r="AR467" s="65"/>
      <c r="AS467" s="65"/>
      <c r="AT467" s="65"/>
    </row>
    <row r="468" spans="2:46" s="32" customFormat="1" x14ac:dyDescent="0.2">
      <c r="B468" s="44"/>
      <c r="C468" s="44"/>
      <c r="D468" s="35"/>
      <c r="E468" s="35"/>
      <c r="F468" s="35"/>
      <c r="G468" s="35"/>
      <c r="H468" s="35"/>
      <c r="I468" s="35"/>
      <c r="J468" s="35"/>
      <c r="K468" s="35"/>
      <c r="L468" s="35"/>
      <c r="M468" s="35"/>
      <c r="N468" s="35"/>
      <c r="O468" s="35"/>
      <c r="P468" s="35"/>
      <c r="Q468" s="35"/>
      <c r="R468" s="35"/>
      <c r="S468" s="35"/>
      <c r="T468" s="35"/>
      <c r="U468" s="35"/>
      <c r="AE468" s="65"/>
      <c r="AF468" s="65"/>
      <c r="AG468" s="65"/>
      <c r="AH468" s="65"/>
      <c r="AI468" s="65"/>
      <c r="AJ468" s="65"/>
      <c r="AK468" s="65"/>
      <c r="AL468" s="65"/>
      <c r="AM468" s="65"/>
      <c r="AN468" s="65"/>
      <c r="AO468" s="65"/>
      <c r="AP468" s="65"/>
      <c r="AQ468" s="65"/>
      <c r="AR468" s="65"/>
      <c r="AS468" s="65"/>
      <c r="AT468" s="65"/>
    </row>
    <row r="469" spans="2:46" s="32" customFormat="1" x14ac:dyDescent="0.2">
      <c r="B469" s="44"/>
      <c r="C469" s="44"/>
      <c r="D469" s="35"/>
      <c r="E469" s="35"/>
      <c r="F469" s="35"/>
      <c r="G469" s="35"/>
      <c r="H469" s="35"/>
      <c r="I469" s="35"/>
      <c r="J469" s="35"/>
      <c r="K469" s="35"/>
      <c r="L469" s="35"/>
      <c r="M469" s="35"/>
      <c r="N469" s="35"/>
      <c r="O469" s="35"/>
      <c r="P469" s="35"/>
      <c r="Q469" s="35"/>
      <c r="R469" s="35"/>
      <c r="S469" s="35"/>
      <c r="T469" s="35"/>
      <c r="U469" s="35"/>
      <c r="AE469" s="65"/>
      <c r="AF469" s="65"/>
      <c r="AG469" s="65"/>
      <c r="AH469" s="65"/>
      <c r="AI469" s="65"/>
      <c r="AJ469" s="65"/>
      <c r="AK469" s="65"/>
      <c r="AL469" s="65"/>
      <c r="AM469" s="65"/>
      <c r="AN469" s="65"/>
      <c r="AO469" s="65"/>
      <c r="AP469" s="65"/>
      <c r="AQ469" s="65"/>
      <c r="AR469" s="65"/>
      <c r="AS469" s="65"/>
      <c r="AT469" s="65"/>
    </row>
    <row r="470" spans="2:46" s="32" customFormat="1" x14ac:dyDescent="0.2">
      <c r="B470" s="44"/>
      <c r="C470" s="44"/>
      <c r="D470" s="35"/>
      <c r="E470" s="35"/>
      <c r="F470" s="35"/>
      <c r="G470" s="35"/>
      <c r="H470" s="35"/>
      <c r="I470" s="35"/>
      <c r="J470" s="35"/>
      <c r="K470" s="35"/>
      <c r="L470" s="35"/>
      <c r="M470" s="35"/>
      <c r="N470" s="35"/>
      <c r="O470" s="35"/>
      <c r="P470" s="35"/>
      <c r="Q470" s="35"/>
      <c r="R470" s="35"/>
      <c r="S470" s="35"/>
      <c r="T470" s="35"/>
      <c r="U470" s="35"/>
      <c r="AE470" s="65"/>
      <c r="AF470" s="65"/>
      <c r="AG470" s="65"/>
      <c r="AH470" s="65"/>
      <c r="AI470" s="65"/>
      <c r="AJ470" s="65"/>
      <c r="AK470" s="65"/>
      <c r="AL470" s="65"/>
      <c r="AM470" s="65"/>
      <c r="AN470" s="65"/>
      <c r="AO470" s="65"/>
      <c r="AP470" s="65"/>
      <c r="AQ470" s="65"/>
      <c r="AR470" s="65"/>
      <c r="AS470" s="65"/>
      <c r="AT470" s="65"/>
    </row>
    <row r="471" spans="2:46" s="32" customFormat="1" x14ac:dyDescent="0.2">
      <c r="B471" s="44"/>
      <c r="C471" s="44"/>
      <c r="D471" s="35"/>
      <c r="E471" s="35"/>
      <c r="F471" s="35"/>
      <c r="G471" s="35"/>
      <c r="H471" s="35"/>
      <c r="I471" s="35"/>
      <c r="J471" s="35"/>
      <c r="K471" s="35"/>
      <c r="L471" s="35"/>
      <c r="M471" s="35"/>
      <c r="N471" s="35"/>
      <c r="O471" s="35"/>
      <c r="P471" s="35"/>
      <c r="Q471" s="35"/>
      <c r="R471" s="35"/>
      <c r="S471" s="35"/>
      <c r="T471" s="35"/>
      <c r="U471" s="35"/>
      <c r="AE471" s="65"/>
      <c r="AF471" s="65"/>
      <c r="AG471" s="65"/>
      <c r="AH471" s="65"/>
      <c r="AI471" s="65"/>
      <c r="AJ471" s="65"/>
      <c r="AK471" s="65"/>
      <c r="AL471" s="65"/>
      <c r="AM471" s="65"/>
      <c r="AN471" s="65"/>
      <c r="AO471" s="65"/>
      <c r="AP471" s="65"/>
      <c r="AQ471" s="65"/>
      <c r="AR471" s="65"/>
      <c r="AS471" s="65"/>
      <c r="AT471" s="65"/>
    </row>
    <row r="472" spans="2:46" s="32" customFormat="1" x14ac:dyDescent="0.2">
      <c r="B472" s="44"/>
      <c r="C472" s="44"/>
      <c r="D472" s="35"/>
      <c r="E472" s="35"/>
      <c r="F472" s="35"/>
      <c r="G472" s="35"/>
      <c r="H472" s="35"/>
      <c r="I472" s="35"/>
      <c r="J472" s="35"/>
      <c r="K472" s="35"/>
      <c r="L472" s="35"/>
      <c r="M472" s="35"/>
      <c r="N472" s="35"/>
      <c r="O472" s="35"/>
      <c r="P472" s="35"/>
      <c r="Q472" s="35"/>
      <c r="R472" s="35"/>
      <c r="S472" s="35"/>
      <c r="T472" s="35"/>
      <c r="U472" s="35"/>
      <c r="AE472" s="65"/>
      <c r="AF472" s="65"/>
      <c r="AG472" s="65"/>
      <c r="AH472" s="65"/>
      <c r="AI472" s="65"/>
      <c r="AJ472" s="65"/>
      <c r="AK472" s="65"/>
      <c r="AL472" s="65"/>
      <c r="AM472" s="65"/>
      <c r="AN472" s="65"/>
      <c r="AO472" s="65"/>
      <c r="AP472" s="65"/>
      <c r="AQ472" s="65"/>
      <c r="AR472" s="65"/>
      <c r="AS472" s="65"/>
      <c r="AT472" s="65"/>
    </row>
    <row r="473" spans="2:46" s="32" customFormat="1" x14ac:dyDescent="0.2">
      <c r="B473" s="44"/>
      <c r="C473" s="44"/>
      <c r="D473" s="35"/>
      <c r="E473" s="35"/>
      <c r="F473" s="35"/>
      <c r="G473" s="35"/>
      <c r="H473" s="35"/>
      <c r="I473" s="35"/>
      <c r="J473" s="35"/>
      <c r="K473" s="35"/>
      <c r="L473" s="35"/>
      <c r="M473" s="35"/>
      <c r="N473" s="35"/>
      <c r="O473" s="35"/>
      <c r="P473" s="35"/>
      <c r="Q473" s="35"/>
      <c r="R473" s="35"/>
      <c r="S473" s="35"/>
      <c r="T473" s="35"/>
      <c r="U473" s="35"/>
      <c r="AE473" s="65"/>
      <c r="AF473" s="65"/>
      <c r="AG473" s="65"/>
      <c r="AH473" s="65"/>
      <c r="AI473" s="65"/>
      <c r="AJ473" s="65"/>
      <c r="AK473" s="65"/>
      <c r="AL473" s="65"/>
      <c r="AM473" s="65"/>
      <c r="AN473" s="65"/>
      <c r="AO473" s="65"/>
      <c r="AP473" s="65"/>
      <c r="AQ473" s="65"/>
      <c r="AR473" s="65"/>
      <c r="AS473" s="65"/>
      <c r="AT473" s="65"/>
    </row>
    <row r="474" spans="2:46" s="32" customFormat="1" x14ac:dyDescent="0.2">
      <c r="B474" s="44"/>
      <c r="C474" s="44"/>
      <c r="D474" s="35"/>
      <c r="E474" s="35"/>
      <c r="F474" s="35"/>
      <c r="G474" s="35"/>
      <c r="H474" s="35"/>
      <c r="I474" s="35"/>
      <c r="J474" s="35"/>
      <c r="K474" s="35"/>
      <c r="L474" s="35"/>
      <c r="M474" s="35"/>
      <c r="N474" s="35"/>
      <c r="O474" s="35"/>
      <c r="P474" s="35"/>
      <c r="Q474" s="35"/>
      <c r="R474" s="35"/>
      <c r="S474" s="35"/>
      <c r="T474" s="35"/>
      <c r="U474" s="35"/>
      <c r="AE474" s="65"/>
      <c r="AF474" s="65"/>
      <c r="AG474" s="65"/>
      <c r="AH474" s="65"/>
      <c r="AI474" s="65"/>
      <c r="AJ474" s="65"/>
      <c r="AK474" s="65"/>
      <c r="AL474" s="65"/>
      <c r="AM474" s="65"/>
      <c r="AN474" s="65"/>
      <c r="AO474" s="65"/>
      <c r="AP474" s="65"/>
      <c r="AQ474" s="65"/>
      <c r="AR474" s="65"/>
      <c r="AS474" s="65"/>
      <c r="AT474" s="65"/>
    </row>
    <row r="475" spans="2:46" s="32" customFormat="1" x14ac:dyDescent="0.2">
      <c r="B475" s="44"/>
      <c r="C475" s="44"/>
      <c r="D475" s="35"/>
      <c r="E475" s="35"/>
      <c r="F475" s="35"/>
      <c r="G475" s="35"/>
      <c r="H475" s="35"/>
      <c r="I475" s="35"/>
      <c r="J475" s="35"/>
      <c r="K475" s="35"/>
      <c r="L475" s="35"/>
      <c r="M475" s="35"/>
      <c r="N475" s="35"/>
      <c r="O475" s="35"/>
      <c r="P475" s="35"/>
      <c r="Q475" s="35"/>
      <c r="R475" s="35"/>
      <c r="S475" s="35"/>
      <c r="T475" s="35"/>
      <c r="U475" s="35"/>
      <c r="AE475" s="65"/>
      <c r="AF475" s="65"/>
      <c r="AG475" s="65"/>
      <c r="AH475" s="65"/>
      <c r="AI475" s="65"/>
      <c r="AJ475" s="65"/>
      <c r="AK475" s="65"/>
      <c r="AL475" s="65"/>
      <c r="AM475" s="65"/>
      <c r="AN475" s="65"/>
      <c r="AO475" s="65"/>
      <c r="AP475" s="65"/>
      <c r="AQ475" s="65"/>
      <c r="AR475" s="65"/>
      <c r="AS475" s="65"/>
      <c r="AT475" s="65"/>
    </row>
    <row r="476" spans="2:46" s="32" customFormat="1" x14ac:dyDescent="0.2">
      <c r="B476" s="44"/>
      <c r="C476" s="44"/>
      <c r="D476" s="35"/>
      <c r="E476" s="35"/>
      <c r="F476" s="35"/>
      <c r="G476" s="35"/>
      <c r="H476" s="35"/>
      <c r="I476" s="35"/>
      <c r="J476" s="35"/>
      <c r="K476" s="35"/>
      <c r="L476" s="35"/>
      <c r="M476" s="35"/>
      <c r="N476" s="35"/>
      <c r="O476" s="35"/>
      <c r="P476" s="35"/>
      <c r="Q476" s="35"/>
      <c r="R476" s="35"/>
      <c r="S476" s="35"/>
      <c r="T476" s="35"/>
      <c r="U476" s="35"/>
      <c r="AE476" s="65"/>
      <c r="AF476" s="65"/>
      <c r="AG476" s="65"/>
      <c r="AH476" s="65"/>
      <c r="AI476" s="65"/>
      <c r="AJ476" s="65"/>
      <c r="AK476" s="65"/>
      <c r="AL476" s="65"/>
      <c r="AM476" s="65"/>
      <c r="AN476" s="65"/>
      <c r="AO476" s="65"/>
      <c r="AP476" s="65"/>
      <c r="AQ476" s="65"/>
      <c r="AR476" s="65"/>
      <c r="AS476" s="65"/>
      <c r="AT476" s="65"/>
    </row>
    <row r="477" spans="2:46" s="32" customFormat="1" x14ac:dyDescent="0.2">
      <c r="B477" s="44"/>
      <c r="C477" s="44"/>
      <c r="D477" s="35"/>
      <c r="E477" s="35"/>
      <c r="F477" s="35"/>
      <c r="G477" s="35"/>
      <c r="H477" s="35"/>
      <c r="I477" s="35"/>
      <c r="J477" s="35"/>
      <c r="K477" s="35"/>
      <c r="L477" s="35"/>
      <c r="M477" s="35"/>
      <c r="N477" s="35"/>
      <c r="O477" s="35"/>
      <c r="P477" s="35"/>
      <c r="Q477" s="35"/>
      <c r="R477" s="35"/>
      <c r="S477" s="35"/>
      <c r="T477" s="35"/>
      <c r="U477" s="35"/>
      <c r="AE477" s="65"/>
      <c r="AF477" s="65"/>
      <c r="AG477" s="65"/>
      <c r="AH477" s="65"/>
      <c r="AI477" s="65"/>
      <c r="AJ477" s="65"/>
      <c r="AK477" s="65"/>
      <c r="AL477" s="65"/>
      <c r="AM477" s="65"/>
      <c r="AN477" s="65"/>
      <c r="AO477" s="65"/>
      <c r="AP477" s="65"/>
      <c r="AQ477" s="65"/>
      <c r="AR477" s="65"/>
      <c r="AS477" s="65"/>
      <c r="AT477" s="65"/>
    </row>
    <row r="478" spans="2:46" s="32" customFormat="1" x14ac:dyDescent="0.2">
      <c r="B478" s="44"/>
      <c r="C478" s="44"/>
      <c r="D478" s="35"/>
      <c r="E478" s="35"/>
      <c r="F478" s="35"/>
      <c r="G478" s="35"/>
      <c r="H478" s="35"/>
      <c r="I478" s="35"/>
      <c r="J478" s="35"/>
      <c r="K478" s="35"/>
      <c r="L478" s="35"/>
      <c r="M478" s="35"/>
      <c r="N478" s="35"/>
      <c r="O478" s="35"/>
      <c r="P478" s="35"/>
      <c r="Q478" s="35"/>
      <c r="R478" s="35"/>
      <c r="S478" s="35"/>
      <c r="T478" s="35"/>
      <c r="U478" s="35"/>
      <c r="AE478" s="65"/>
      <c r="AF478" s="65"/>
      <c r="AG478" s="65"/>
      <c r="AH478" s="65"/>
      <c r="AI478" s="65"/>
      <c r="AJ478" s="65"/>
      <c r="AK478" s="65"/>
      <c r="AL478" s="65"/>
      <c r="AM478" s="65"/>
      <c r="AN478" s="65"/>
      <c r="AO478" s="65"/>
      <c r="AP478" s="65"/>
      <c r="AQ478" s="65"/>
      <c r="AR478" s="65"/>
      <c r="AS478" s="65"/>
      <c r="AT478" s="65"/>
    </row>
    <row r="479" spans="2:46" s="32" customFormat="1" x14ac:dyDescent="0.2">
      <c r="B479" s="44"/>
      <c r="C479" s="44"/>
      <c r="D479" s="35"/>
      <c r="E479" s="35"/>
      <c r="F479" s="35"/>
      <c r="G479" s="35"/>
      <c r="H479" s="35"/>
      <c r="I479" s="35"/>
      <c r="J479" s="35"/>
      <c r="K479" s="35"/>
      <c r="L479" s="35"/>
      <c r="M479" s="35"/>
      <c r="N479" s="35"/>
      <c r="O479" s="35"/>
      <c r="P479" s="35"/>
      <c r="Q479" s="35"/>
      <c r="R479" s="35"/>
      <c r="S479" s="35"/>
      <c r="T479" s="35"/>
      <c r="U479" s="35"/>
      <c r="AE479" s="65"/>
      <c r="AF479" s="65"/>
      <c r="AG479" s="65"/>
      <c r="AH479" s="65"/>
      <c r="AI479" s="65"/>
      <c r="AJ479" s="65"/>
      <c r="AK479" s="65"/>
      <c r="AL479" s="65"/>
      <c r="AM479" s="65"/>
      <c r="AN479" s="65"/>
      <c r="AO479" s="65"/>
      <c r="AP479" s="65"/>
      <c r="AQ479" s="65"/>
      <c r="AR479" s="65"/>
      <c r="AS479" s="65"/>
      <c r="AT479" s="65"/>
    </row>
    <row r="480" spans="2:46" s="32" customFormat="1" x14ac:dyDescent="0.2">
      <c r="B480" s="44"/>
      <c r="C480" s="44"/>
      <c r="D480" s="35"/>
      <c r="E480" s="35"/>
      <c r="F480" s="35"/>
      <c r="G480" s="35"/>
      <c r="H480" s="35"/>
      <c r="I480" s="35"/>
      <c r="J480" s="35"/>
      <c r="K480" s="35"/>
      <c r="L480" s="35"/>
      <c r="M480" s="35"/>
      <c r="N480" s="35"/>
      <c r="O480" s="35"/>
      <c r="P480" s="35"/>
      <c r="Q480" s="35"/>
      <c r="R480" s="35"/>
      <c r="S480" s="35"/>
      <c r="T480" s="35"/>
      <c r="U480" s="35"/>
      <c r="AE480" s="65"/>
      <c r="AF480" s="65"/>
      <c r="AG480" s="65"/>
      <c r="AH480" s="65"/>
      <c r="AI480" s="65"/>
      <c r="AJ480" s="65"/>
      <c r="AK480" s="65"/>
      <c r="AL480" s="65"/>
      <c r="AM480" s="65"/>
      <c r="AN480" s="65"/>
      <c r="AO480" s="65"/>
      <c r="AP480" s="65"/>
      <c r="AQ480" s="65"/>
      <c r="AR480" s="65"/>
      <c r="AS480" s="65"/>
      <c r="AT480" s="65"/>
    </row>
    <row r="481" spans="2:46" s="32" customFormat="1" x14ac:dyDescent="0.2">
      <c r="B481" s="44"/>
      <c r="C481" s="44"/>
      <c r="D481" s="35"/>
      <c r="E481" s="35"/>
      <c r="F481" s="35"/>
      <c r="G481" s="35"/>
      <c r="H481" s="35"/>
      <c r="I481" s="35"/>
      <c r="J481" s="35"/>
      <c r="K481" s="35"/>
      <c r="L481" s="35"/>
      <c r="M481" s="35"/>
      <c r="N481" s="35"/>
      <c r="O481" s="35"/>
      <c r="P481" s="35"/>
      <c r="Q481" s="35"/>
      <c r="R481" s="35"/>
      <c r="S481" s="35"/>
      <c r="T481" s="35"/>
      <c r="U481" s="35"/>
      <c r="AE481" s="65"/>
      <c r="AF481" s="65"/>
      <c r="AG481" s="65"/>
      <c r="AH481" s="65"/>
      <c r="AI481" s="65"/>
      <c r="AJ481" s="65"/>
      <c r="AK481" s="65"/>
      <c r="AL481" s="65"/>
      <c r="AM481" s="65"/>
      <c r="AN481" s="65"/>
      <c r="AO481" s="65"/>
      <c r="AP481" s="65"/>
      <c r="AQ481" s="65"/>
      <c r="AR481" s="65"/>
      <c r="AS481" s="65"/>
      <c r="AT481" s="65"/>
    </row>
    <row r="482" spans="2:46" s="32" customFormat="1" x14ac:dyDescent="0.2">
      <c r="B482" s="44"/>
      <c r="C482" s="44"/>
      <c r="D482" s="35"/>
      <c r="E482" s="35"/>
      <c r="F482" s="35"/>
      <c r="G482" s="35"/>
      <c r="H482" s="35"/>
      <c r="I482" s="35"/>
      <c r="J482" s="35"/>
      <c r="K482" s="35"/>
      <c r="L482" s="35"/>
      <c r="M482" s="35"/>
      <c r="N482" s="35"/>
      <c r="O482" s="35"/>
      <c r="P482" s="35"/>
      <c r="Q482" s="35"/>
      <c r="R482" s="35"/>
      <c r="S482" s="35"/>
      <c r="T482" s="35"/>
      <c r="U482" s="35"/>
      <c r="AE482" s="65"/>
      <c r="AF482" s="65"/>
      <c r="AG482" s="65"/>
      <c r="AH482" s="65"/>
      <c r="AI482" s="65"/>
      <c r="AJ482" s="65"/>
      <c r="AK482" s="65"/>
      <c r="AL482" s="65"/>
      <c r="AM482" s="65"/>
      <c r="AN482" s="65"/>
      <c r="AO482" s="65"/>
      <c r="AP482" s="65"/>
      <c r="AQ482" s="65"/>
      <c r="AR482" s="65"/>
      <c r="AS482" s="65"/>
      <c r="AT482" s="65"/>
    </row>
    <row r="483" spans="2:46" s="32" customFormat="1" x14ac:dyDescent="0.2">
      <c r="B483" s="44"/>
      <c r="C483" s="44"/>
      <c r="D483" s="35"/>
      <c r="E483" s="35"/>
      <c r="F483" s="35"/>
      <c r="G483" s="35"/>
      <c r="H483" s="35"/>
      <c r="I483" s="35"/>
      <c r="J483" s="35"/>
      <c r="K483" s="35"/>
      <c r="L483" s="35"/>
      <c r="M483" s="35"/>
      <c r="N483" s="35"/>
      <c r="O483" s="35"/>
      <c r="P483" s="35"/>
      <c r="Q483" s="35"/>
      <c r="R483" s="35"/>
      <c r="S483" s="35"/>
      <c r="T483" s="35"/>
      <c r="U483" s="35"/>
      <c r="AE483" s="65"/>
      <c r="AF483" s="65"/>
      <c r="AG483" s="65"/>
      <c r="AH483" s="65"/>
      <c r="AI483" s="65"/>
      <c r="AJ483" s="65"/>
      <c r="AK483" s="65"/>
      <c r="AL483" s="65"/>
      <c r="AM483" s="65"/>
      <c r="AN483" s="65"/>
      <c r="AO483" s="65"/>
      <c r="AP483" s="65"/>
      <c r="AQ483" s="65"/>
      <c r="AR483" s="65"/>
      <c r="AS483" s="65"/>
      <c r="AT483" s="65"/>
    </row>
    <row r="484" spans="2:46" s="32" customFormat="1" x14ac:dyDescent="0.2">
      <c r="B484" s="44"/>
      <c r="C484" s="44"/>
      <c r="D484" s="35"/>
      <c r="E484" s="35"/>
      <c r="F484" s="35"/>
      <c r="G484" s="35"/>
      <c r="H484" s="35"/>
      <c r="I484" s="35"/>
      <c r="J484" s="35"/>
      <c r="K484" s="35"/>
      <c r="L484" s="35"/>
      <c r="M484" s="35"/>
      <c r="N484" s="35"/>
      <c r="O484" s="35"/>
      <c r="P484" s="35"/>
      <c r="Q484" s="35"/>
      <c r="R484" s="35"/>
      <c r="S484" s="35"/>
      <c r="T484" s="35"/>
      <c r="U484" s="35"/>
      <c r="AE484" s="65"/>
      <c r="AF484" s="65"/>
      <c r="AG484" s="65"/>
      <c r="AH484" s="65"/>
      <c r="AI484" s="65"/>
      <c r="AJ484" s="65"/>
      <c r="AK484" s="65"/>
      <c r="AL484" s="65"/>
      <c r="AM484" s="65"/>
      <c r="AN484" s="65"/>
      <c r="AO484" s="65"/>
      <c r="AP484" s="65"/>
      <c r="AQ484" s="65"/>
      <c r="AR484" s="65"/>
      <c r="AS484" s="65"/>
      <c r="AT484" s="65"/>
    </row>
    <row r="485" spans="2:46" s="32" customFormat="1" x14ac:dyDescent="0.2">
      <c r="B485" s="44"/>
      <c r="C485" s="44"/>
      <c r="D485" s="35"/>
      <c r="E485" s="35"/>
      <c r="F485" s="35"/>
      <c r="G485" s="35"/>
      <c r="H485" s="35"/>
      <c r="I485" s="35"/>
      <c r="J485" s="35"/>
      <c r="K485" s="35"/>
      <c r="L485" s="35"/>
      <c r="M485" s="35"/>
      <c r="N485" s="35"/>
      <c r="O485" s="35"/>
      <c r="P485" s="35"/>
      <c r="Q485" s="35"/>
      <c r="R485" s="35"/>
      <c r="S485" s="35"/>
      <c r="T485" s="35"/>
      <c r="U485" s="35"/>
      <c r="AE485" s="65"/>
      <c r="AF485" s="65"/>
      <c r="AG485" s="65"/>
      <c r="AH485" s="65"/>
      <c r="AI485" s="65"/>
      <c r="AJ485" s="65"/>
      <c r="AK485" s="65"/>
      <c r="AL485" s="65"/>
      <c r="AM485" s="65"/>
      <c r="AN485" s="65"/>
      <c r="AO485" s="65"/>
      <c r="AP485" s="65"/>
      <c r="AQ485" s="65"/>
      <c r="AR485" s="65"/>
      <c r="AS485" s="65"/>
      <c r="AT485" s="65"/>
    </row>
    <row r="486" spans="2:46" s="32" customFormat="1" x14ac:dyDescent="0.2">
      <c r="B486" s="44"/>
      <c r="C486" s="44"/>
      <c r="D486" s="35"/>
      <c r="E486" s="35"/>
      <c r="F486" s="35"/>
      <c r="G486" s="35"/>
      <c r="H486" s="35"/>
      <c r="I486" s="35"/>
      <c r="J486" s="35"/>
      <c r="K486" s="35"/>
      <c r="L486" s="35"/>
      <c r="M486" s="35"/>
      <c r="N486" s="35"/>
      <c r="O486" s="35"/>
      <c r="P486" s="35"/>
      <c r="Q486" s="35"/>
      <c r="R486" s="35"/>
      <c r="S486" s="35"/>
      <c r="T486" s="35"/>
      <c r="U486" s="35"/>
      <c r="AE486" s="65"/>
      <c r="AF486" s="65"/>
      <c r="AG486" s="65"/>
      <c r="AH486" s="65"/>
      <c r="AI486" s="65"/>
      <c r="AJ486" s="65"/>
      <c r="AK486" s="65"/>
      <c r="AL486" s="65"/>
      <c r="AM486" s="65"/>
      <c r="AN486" s="65"/>
      <c r="AO486" s="65"/>
      <c r="AP486" s="65"/>
      <c r="AQ486" s="65"/>
      <c r="AR486" s="65"/>
      <c r="AS486" s="65"/>
      <c r="AT486" s="65"/>
    </row>
    <row r="487" spans="2:46" s="32" customFormat="1" x14ac:dyDescent="0.2">
      <c r="B487" s="44"/>
      <c r="C487" s="44"/>
      <c r="D487" s="35"/>
      <c r="E487" s="35"/>
      <c r="F487" s="35"/>
      <c r="G487" s="35"/>
      <c r="H487" s="35"/>
      <c r="I487" s="35"/>
      <c r="J487" s="35"/>
      <c r="K487" s="35"/>
      <c r="L487" s="35"/>
      <c r="M487" s="35"/>
      <c r="N487" s="35"/>
      <c r="O487" s="35"/>
      <c r="P487" s="35"/>
      <c r="Q487" s="35"/>
      <c r="R487" s="35"/>
      <c r="S487" s="35"/>
      <c r="T487" s="35"/>
      <c r="U487" s="35"/>
      <c r="AE487" s="65"/>
      <c r="AF487" s="65"/>
      <c r="AG487" s="65"/>
      <c r="AH487" s="65"/>
      <c r="AI487" s="65"/>
      <c r="AJ487" s="65"/>
      <c r="AK487" s="65"/>
      <c r="AL487" s="65"/>
      <c r="AM487" s="65"/>
      <c r="AN487" s="65"/>
      <c r="AO487" s="65"/>
      <c r="AP487" s="65"/>
      <c r="AQ487" s="65"/>
      <c r="AR487" s="65"/>
      <c r="AS487" s="65"/>
      <c r="AT487" s="65"/>
    </row>
    <row r="488" spans="2:46" s="32" customFormat="1" x14ac:dyDescent="0.2">
      <c r="B488" s="44"/>
      <c r="C488" s="44"/>
      <c r="D488" s="35"/>
      <c r="E488" s="35"/>
      <c r="F488" s="35"/>
      <c r="G488" s="35"/>
      <c r="H488" s="35"/>
      <c r="I488" s="35"/>
      <c r="J488" s="35"/>
      <c r="K488" s="35"/>
      <c r="L488" s="35"/>
      <c r="M488" s="35"/>
      <c r="N488" s="35"/>
      <c r="O488" s="35"/>
      <c r="P488" s="35"/>
      <c r="Q488" s="35"/>
      <c r="R488" s="35"/>
      <c r="S488" s="35"/>
      <c r="T488" s="35"/>
      <c r="U488" s="35"/>
      <c r="AE488" s="65"/>
      <c r="AF488" s="65"/>
      <c r="AG488" s="65"/>
      <c r="AH488" s="65"/>
      <c r="AI488" s="65"/>
      <c r="AJ488" s="65"/>
      <c r="AK488" s="65"/>
      <c r="AL488" s="65"/>
      <c r="AM488" s="65"/>
      <c r="AN488" s="65"/>
      <c r="AO488" s="65"/>
      <c r="AP488" s="65"/>
      <c r="AQ488" s="65"/>
      <c r="AR488" s="65"/>
      <c r="AS488" s="65"/>
      <c r="AT488" s="65"/>
    </row>
    <row r="489" spans="2:46" s="32" customFormat="1" x14ac:dyDescent="0.2">
      <c r="B489" s="44"/>
      <c r="C489" s="44"/>
      <c r="D489" s="35"/>
      <c r="E489" s="35"/>
      <c r="F489" s="35"/>
      <c r="G489" s="35"/>
      <c r="H489" s="35"/>
      <c r="I489" s="35"/>
      <c r="J489" s="35"/>
      <c r="K489" s="35"/>
      <c r="L489" s="35"/>
      <c r="M489" s="35"/>
      <c r="N489" s="35"/>
      <c r="O489" s="35"/>
      <c r="P489" s="35"/>
      <c r="Q489" s="35"/>
      <c r="R489" s="35"/>
      <c r="S489" s="35"/>
      <c r="T489" s="35"/>
      <c r="U489" s="35"/>
      <c r="AE489" s="65"/>
      <c r="AF489" s="65"/>
      <c r="AG489" s="65"/>
      <c r="AH489" s="65"/>
      <c r="AI489" s="65"/>
      <c r="AJ489" s="65"/>
      <c r="AK489" s="65"/>
      <c r="AL489" s="65"/>
      <c r="AM489" s="65"/>
      <c r="AN489" s="65"/>
      <c r="AO489" s="65"/>
      <c r="AP489" s="65"/>
      <c r="AQ489" s="65"/>
      <c r="AR489" s="65"/>
      <c r="AS489" s="65"/>
      <c r="AT489" s="65"/>
    </row>
    <row r="490" spans="2:46" s="32" customFormat="1" x14ac:dyDescent="0.2">
      <c r="B490" s="44"/>
      <c r="C490" s="44"/>
      <c r="D490" s="35"/>
      <c r="E490" s="35"/>
      <c r="F490" s="35"/>
      <c r="G490" s="35"/>
      <c r="H490" s="35"/>
      <c r="I490" s="35"/>
      <c r="J490" s="35"/>
      <c r="K490" s="35"/>
      <c r="L490" s="35"/>
      <c r="M490" s="35"/>
      <c r="N490" s="35"/>
      <c r="O490" s="35"/>
      <c r="P490" s="35"/>
      <c r="Q490" s="35"/>
      <c r="R490" s="35"/>
      <c r="S490" s="35"/>
      <c r="T490" s="35"/>
      <c r="U490" s="35"/>
      <c r="AE490" s="65"/>
      <c r="AF490" s="65"/>
      <c r="AG490" s="65"/>
      <c r="AH490" s="65"/>
      <c r="AI490" s="65"/>
      <c r="AJ490" s="65"/>
      <c r="AK490" s="65"/>
      <c r="AL490" s="65"/>
      <c r="AM490" s="65"/>
      <c r="AN490" s="65"/>
      <c r="AO490" s="65"/>
      <c r="AP490" s="65"/>
      <c r="AQ490" s="65"/>
      <c r="AR490" s="65"/>
      <c r="AS490" s="65"/>
      <c r="AT490" s="65"/>
    </row>
    <row r="491" spans="2:46" s="32" customFormat="1" x14ac:dyDescent="0.2">
      <c r="B491" s="44"/>
      <c r="C491" s="44"/>
      <c r="D491" s="35"/>
      <c r="E491" s="35"/>
      <c r="F491" s="35"/>
      <c r="G491" s="35"/>
      <c r="H491" s="35"/>
      <c r="I491" s="35"/>
      <c r="J491" s="35"/>
      <c r="K491" s="35"/>
      <c r="L491" s="35"/>
      <c r="M491" s="35"/>
      <c r="N491" s="35"/>
      <c r="O491" s="35"/>
      <c r="P491" s="35"/>
      <c r="Q491" s="35"/>
      <c r="R491" s="35"/>
      <c r="S491" s="35"/>
      <c r="T491" s="35"/>
      <c r="U491" s="35"/>
      <c r="AE491" s="65"/>
      <c r="AF491" s="65"/>
      <c r="AG491" s="65"/>
      <c r="AH491" s="65"/>
      <c r="AI491" s="65"/>
      <c r="AJ491" s="65"/>
      <c r="AK491" s="65"/>
      <c r="AL491" s="65"/>
      <c r="AM491" s="65"/>
      <c r="AN491" s="65"/>
      <c r="AO491" s="65"/>
      <c r="AP491" s="65"/>
      <c r="AQ491" s="65"/>
      <c r="AR491" s="65"/>
      <c r="AS491" s="65"/>
      <c r="AT491" s="65"/>
    </row>
    <row r="492" spans="2:46" s="32" customFormat="1" x14ac:dyDescent="0.2">
      <c r="B492" s="44"/>
      <c r="C492" s="44"/>
      <c r="D492" s="35"/>
      <c r="E492" s="35"/>
      <c r="F492" s="35"/>
      <c r="G492" s="35"/>
      <c r="H492" s="35"/>
      <c r="I492" s="35"/>
      <c r="J492" s="35"/>
      <c r="K492" s="35"/>
      <c r="L492" s="35"/>
      <c r="M492" s="35"/>
      <c r="N492" s="35"/>
      <c r="O492" s="35"/>
      <c r="P492" s="35"/>
      <c r="Q492" s="35"/>
      <c r="R492" s="35"/>
      <c r="S492" s="35"/>
      <c r="T492" s="35"/>
      <c r="U492" s="35"/>
      <c r="AE492" s="65"/>
      <c r="AF492" s="65"/>
      <c r="AG492" s="65"/>
      <c r="AH492" s="65"/>
      <c r="AI492" s="65"/>
      <c r="AJ492" s="65"/>
      <c r="AK492" s="65"/>
      <c r="AL492" s="65"/>
      <c r="AM492" s="65"/>
      <c r="AN492" s="65"/>
      <c r="AO492" s="65"/>
      <c r="AP492" s="65"/>
      <c r="AQ492" s="65"/>
      <c r="AR492" s="65"/>
      <c r="AS492" s="65"/>
      <c r="AT492" s="65"/>
    </row>
    <row r="493" spans="2:46" s="32" customFormat="1" x14ac:dyDescent="0.2">
      <c r="B493" s="44"/>
      <c r="C493" s="44"/>
      <c r="D493" s="35"/>
      <c r="E493" s="35"/>
      <c r="F493" s="35"/>
      <c r="G493" s="35"/>
      <c r="H493" s="35"/>
      <c r="I493" s="35"/>
      <c r="J493" s="35"/>
      <c r="K493" s="35"/>
      <c r="L493" s="35"/>
      <c r="M493" s="35"/>
      <c r="N493" s="35"/>
      <c r="O493" s="35"/>
      <c r="P493" s="35"/>
      <c r="Q493" s="35"/>
      <c r="R493" s="35"/>
      <c r="S493" s="35"/>
      <c r="T493" s="35"/>
      <c r="U493" s="35"/>
      <c r="AE493" s="65"/>
      <c r="AF493" s="65"/>
      <c r="AG493" s="65"/>
      <c r="AH493" s="65"/>
      <c r="AI493" s="65"/>
      <c r="AJ493" s="65"/>
      <c r="AK493" s="65"/>
      <c r="AL493" s="65"/>
      <c r="AM493" s="65"/>
      <c r="AN493" s="65"/>
      <c r="AO493" s="65"/>
      <c r="AP493" s="65"/>
      <c r="AQ493" s="65"/>
      <c r="AR493" s="65"/>
      <c r="AS493" s="65"/>
      <c r="AT493" s="65"/>
    </row>
    <row r="494" spans="2:46" s="32" customFormat="1" x14ac:dyDescent="0.2">
      <c r="B494" s="44"/>
      <c r="C494" s="44"/>
      <c r="D494" s="35"/>
      <c r="E494" s="35"/>
      <c r="F494" s="35"/>
      <c r="G494" s="35"/>
      <c r="H494" s="35"/>
      <c r="I494" s="35"/>
      <c r="J494" s="35"/>
      <c r="K494" s="35"/>
      <c r="L494" s="35"/>
      <c r="M494" s="35"/>
      <c r="N494" s="35"/>
      <c r="O494" s="35"/>
      <c r="P494" s="35"/>
      <c r="Q494" s="35"/>
      <c r="R494" s="35"/>
      <c r="S494" s="35"/>
      <c r="T494" s="35"/>
      <c r="U494" s="35"/>
      <c r="AE494" s="65"/>
      <c r="AF494" s="65"/>
      <c r="AG494" s="65"/>
      <c r="AH494" s="65"/>
      <c r="AI494" s="65"/>
      <c r="AJ494" s="65"/>
      <c r="AK494" s="65"/>
      <c r="AL494" s="65"/>
      <c r="AM494" s="65"/>
      <c r="AN494" s="65"/>
      <c r="AO494" s="65"/>
      <c r="AP494" s="65"/>
      <c r="AQ494" s="65"/>
      <c r="AR494" s="65"/>
      <c r="AS494" s="65"/>
      <c r="AT494" s="65"/>
    </row>
    <row r="495" spans="2:46" s="32" customFormat="1" x14ac:dyDescent="0.2">
      <c r="B495" s="44"/>
      <c r="C495" s="44"/>
      <c r="D495" s="35"/>
      <c r="E495" s="35"/>
      <c r="F495" s="35"/>
      <c r="G495" s="35"/>
      <c r="H495" s="35"/>
      <c r="I495" s="35"/>
      <c r="J495" s="35"/>
      <c r="K495" s="35"/>
      <c r="L495" s="35"/>
      <c r="M495" s="35"/>
      <c r="N495" s="35"/>
      <c r="O495" s="35"/>
      <c r="P495" s="35"/>
      <c r="Q495" s="35"/>
      <c r="R495" s="35"/>
      <c r="S495" s="35"/>
      <c r="T495" s="35"/>
      <c r="U495" s="35"/>
      <c r="AE495" s="65"/>
      <c r="AF495" s="65"/>
      <c r="AG495" s="65"/>
      <c r="AH495" s="65"/>
      <c r="AI495" s="65"/>
      <c r="AJ495" s="65"/>
      <c r="AK495" s="65"/>
      <c r="AL495" s="65"/>
      <c r="AM495" s="65"/>
      <c r="AN495" s="65"/>
      <c r="AO495" s="65"/>
      <c r="AP495" s="65"/>
      <c r="AQ495" s="65"/>
      <c r="AR495" s="65"/>
      <c r="AS495" s="65"/>
      <c r="AT495" s="65"/>
    </row>
    <row r="496" spans="2:46" s="32" customFormat="1" x14ac:dyDescent="0.2">
      <c r="B496" s="44"/>
      <c r="C496" s="44"/>
      <c r="D496" s="35"/>
      <c r="E496" s="35"/>
      <c r="F496" s="35"/>
      <c r="G496" s="35"/>
      <c r="H496" s="35"/>
      <c r="I496" s="35"/>
      <c r="J496" s="35"/>
      <c r="K496" s="35"/>
      <c r="L496" s="35"/>
      <c r="M496" s="35"/>
      <c r="N496" s="35"/>
      <c r="O496" s="35"/>
      <c r="P496" s="35"/>
      <c r="Q496" s="35"/>
      <c r="R496" s="35"/>
      <c r="S496" s="35"/>
      <c r="T496" s="35"/>
      <c r="U496" s="35"/>
      <c r="AE496" s="65"/>
      <c r="AF496" s="65"/>
      <c r="AG496" s="65"/>
      <c r="AH496" s="65"/>
      <c r="AI496" s="65"/>
      <c r="AJ496" s="65"/>
      <c r="AK496" s="65"/>
      <c r="AL496" s="65"/>
      <c r="AM496" s="65"/>
      <c r="AN496" s="65"/>
      <c r="AO496" s="65"/>
      <c r="AP496" s="65"/>
      <c r="AQ496" s="65"/>
      <c r="AR496" s="65"/>
      <c r="AS496" s="65"/>
      <c r="AT496" s="65"/>
    </row>
    <row r="497" spans="2:46" s="32" customFormat="1" x14ac:dyDescent="0.2">
      <c r="B497" s="44"/>
      <c r="C497" s="44"/>
      <c r="D497" s="35"/>
      <c r="E497" s="35"/>
      <c r="F497" s="35"/>
      <c r="G497" s="35"/>
      <c r="H497" s="35"/>
      <c r="I497" s="35"/>
      <c r="J497" s="35"/>
      <c r="K497" s="35"/>
      <c r="L497" s="35"/>
      <c r="M497" s="35"/>
      <c r="N497" s="35"/>
      <c r="O497" s="35"/>
      <c r="P497" s="35"/>
      <c r="Q497" s="35"/>
      <c r="R497" s="35"/>
      <c r="S497" s="35"/>
      <c r="T497" s="35"/>
      <c r="U497" s="35"/>
      <c r="AE497" s="65"/>
      <c r="AF497" s="65"/>
      <c r="AG497" s="65"/>
      <c r="AH497" s="65"/>
      <c r="AI497" s="65"/>
      <c r="AJ497" s="65"/>
      <c r="AK497" s="65"/>
      <c r="AL497" s="65"/>
      <c r="AM497" s="65"/>
      <c r="AN497" s="65"/>
      <c r="AO497" s="65"/>
      <c r="AP497" s="65"/>
      <c r="AQ497" s="65"/>
      <c r="AR497" s="65"/>
      <c r="AS497" s="65"/>
      <c r="AT497" s="65"/>
    </row>
    <row r="498" spans="2:46" s="32" customFormat="1" x14ac:dyDescent="0.2">
      <c r="B498" s="44"/>
      <c r="C498" s="44"/>
      <c r="D498" s="35"/>
      <c r="E498" s="35"/>
      <c r="F498" s="35"/>
      <c r="G498" s="35"/>
      <c r="H498" s="35"/>
      <c r="I498" s="35"/>
      <c r="J498" s="35"/>
      <c r="K498" s="35"/>
      <c r="L498" s="35"/>
      <c r="M498" s="35"/>
      <c r="N498" s="35"/>
      <c r="O498" s="35"/>
      <c r="P498" s="35"/>
      <c r="Q498" s="35"/>
      <c r="R498" s="35"/>
      <c r="S498" s="35"/>
      <c r="T498" s="35"/>
      <c r="U498" s="35"/>
      <c r="AE498" s="65"/>
      <c r="AF498" s="65"/>
      <c r="AG498" s="65"/>
      <c r="AH498" s="65"/>
      <c r="AI498" s="65"/>
      <c r="AJ498" s="65"/>
      <c r="AK498" s="65"/>
      <c r="AL498" s="65"/>
      <c r="AM498" s="65"/>
      <c r="AN498" s="65"/>
      <c r="AO498" s="65"/>
      <c r="AP498" s="65"/>
      <c r="AQ498" s="65"/>
      <c r="AR498" s="65"/>
      <c r="AS498" s="65"/>
      <c r="AT498" s="65"/>
    </row>
    <row r="499" spans="2:46" s="32" customFormat="1" x14ac:dyDescent="0.2">
      <c r="B499" s="44"/>
      <c r="C499" s="44"/>
      <c r="D499" s="35"/>
      <c r="E499" s="35"/>
      <c r="F499" s="35"/>
      <c r="G499" s="35"/>
      <c r="H499" s="35"/>
      <c r="I499" s="35"/>
      <c r="J499" s="35"/>
      <c r="K499" s="35"/>
      <c r="L499" s="35"/>
      <c r="M499" s="35"/>
      <c r="N499" s="35"/>
      <c r="O499" s="35"/>
      <c r="P499" s="35"/>
      <c r="Q499" s="35"/>
      <c r="R499" s="35"/>
      <c r="S499" s="35"/>
      <c r="T499" s="35"/>
      <c r="U499" s="35"/>
      <c r="AE499" s="65"/>
      <c r="AF499" s="65"/>
      <c r="AG499" s="65"/>
      <c r="AH499" s="65"/>
      <c r="AI499" s="65"/>
      <c r="AJ499" s="65"/>
      <c r="AK499" s="65"/>
      <c r="AL499" s="65"/>
      <c r="AM499" s="65"/>
      <c r="AN499" s="65"/>
      <c r="AO499" s="65"/>
      <c r="AP499" s="65"/>
      <c r="AQ499" s="65"/>
      <c r="AR499" s="65"/>
      <c r="AS499" s="65"/>
      <c r="AT499" s="65"/>
    </row>
    <row r="500" spans="2:46" s="32" customFormat="1" x14ac:dyDescent="0.2">
      <c r="B500" s="44"/>
      <c r="C500" s="44"/>
      <c r="D500" s="35"/>
      <c r="E500" s="35"/>
      <c r="F500" s="35"/>
      <c r="G500" s="35"/>
      <c r="H500" s="35"/>
      <c r="I500" s="35"/>
      <c r="J500" s="35"/>
      <c r="K500" s="35"/>
      <c r="L500" s="35"/>
      <c r="M500" s="35"/>
      <c r="N500" s="35"/>
      <c r="O500" s="35"/>
      <c r="P500" s="35"/>
      <c r="Q500" s="35"/>
      <c r="R500" s="35"/>
      <c r="S500" s="35"/>
      <c r="T500" s="35"/>
      <c r="U500" s="35"/>
      <c r="AE500" s="65"/>
      <c r="AF500" s="65"/>
      <c r="AG500" s="65"/>
      <c r="AH500" s="65"/>
      <c r="AI500" s="65"/>
      <c r="AJ500" s="65"/>
      <c r="AK500" s="65"/>
      <c r="AL500" s="65"/>
      <c r="AM500" s="65"/>
      <c r="AN500" s="65"/>
      <c r="AO500" s="65"/>
      <c r="AP500" s="65"/>
      <c r="AQ500" s="65"/>
      <c r="AR500" s="65"/>
      <c r="AS500" s="65"/>
      <c r="AT500" s="65"/>
    </row>
    <row r="501" spans="2:46" s="32" customFormat="1" x14ac:dyDescent="0.2">
      <c r="B501" s="44"/>
      <c r="C501" s="44"/>
      <c r="D501" s="35"/>
      <c r="E501" s="35"/>
      <c r="F501" s="35"/>
      <c r="G501" s="35"/>
      <c r="H501" s="35"/>
      <c r="I501" s="35"/>
      <c r="J501" s="35"/>
      <c r="K501" s="35"/>
      <c r="L501" s="35"/>
      <c r="M501" s="35"/>
      <c r="N501" s="35"/>
      <c r="O501" s="35"/>
      <c r="P501" s="35"/>
      <c r="Q501" s="35"/>
      <c r="R501" s="35"/>
      <c r="S501" s="35"/>
      <c r="T501" s="35"/>
      <c r="U501" s="35"/>
      <c r="AE501" s="65"/>
      <c r="AF501" s="65"/>
      <c r="AG501" s="65"/>
      <c r="AH501" s="65"/>
      <c r="AI501" s="65"/>
      <c r="AJ501" s="65"/>
      <c r="AK501" s="65"/>
      <c r="AL501" s="65"/>
      <c r="AM501" s="65"/>
      <c r="AN501" s="65"/>
      <c r="AO501" s="65"/>
      <c r="AP501" s="65"/>
      <c r="AQ501" s="65"/>
      <c r="AR501" s="65"/>
      <c r="AS501" s="65"/>
      <c r="AT501" s="65"/>
    </row>
    <row r="502" spans="2:46" s="32" customFormat="1" x14ac:dyDescent="0.2">
      <c r="B502" s="44"/>
      <c r="C502" s="44"/>
      <c r="D502" s="35"/>
      <c r="E502" s="35"/>
      <c r="F502" s="35"/>
      <c r="G502" s="35"/>
      <c r="H502" s="35"/>
      <c r="I502" s="35"/>
      <c r="J502" s="35"/>
      <c r="K502" s="35"/>
      <c r="L502" s="35"/>
      <c r="M502" s="35"/>
      <c r="N502" s="35"/>
      <c r="O502" s="35"/>
      <c r="P502" s="35"/>
      <c r="Q502" s="35"/>
      <c r="R502" s="35"/>
      <c r="S502" s="35"/>
      <c r="T502" s="35"/>
      <c r="U502" s="35"/>
      <c r="AE502" s="65"/>
      <c r="AF502" s="65"/>
      <c r="AG502" s="65"/>
      <c r="AH502" s="65"/>
      <c r="AI502" s="65"/>
      <c r="AJ502" s="65"/>
      <c r="AK502" s="65"/>
      <c r="AL502" s="65"/>
      <c r="AM502" s="65"/>
      <c r="AN502" s="65"/>
      <c r="AO502" s="65"/>
      <c r="AP502" s="65"/>
      <c r="AQ502" s="65"/>
      <c r="AR502" s="65"/>
      <c r="AS502" s="65"/>
      <c r="AT502" s="65"/>
    </row>
    <row r="503" spans="2:46" s="32" customFormat="1" x14ac:dyDescent="0.2">
      <c r="B503" s="44"/>
      <c r="C503" s="44"/>
      <c r="D503" s="35"/>
      <c r="E503" s="35"/>
      <c r="F503" s="35"/>
      <c r="G503" s="35"/>
      <c r="H503" s="35"/>
      <c r="I503" s="35"/>
      <c r="J503" s="35"/>
      <c r="K503" s="35"/>
      <c r="L503" s="35"/>
      <c r="M503" s="35"/>
      <c r="N503" s="35"/>
      <c r="O503" s="35"/>
      <c r="P503" s="35"/>
      <c r="Q503" s="35"/>
      <c r="R503" s="35"/>
      <c r="S503" s="35"/>
      <c r="T503" s="35"/>
      <c r="U503" s="35"/>
      <c r="AE503" s="65"/>
      <c r="AF503" s="65"/>
      <c r="AG503" s="65"/>
      <c r="AH503" s="65"/>
      <c r="AI503" s="65"/>
      <c r="AJ503" s="65"/>
      <c r="AK503" s="65"/>
      <c r="AL503" s="65"/>
      <c r="AM503" s="65"/>
      <c r="AN503" s="65"/>
      <c r="AO503" s="65"/>
      <c r="AP503" s="65"/>
      <c r="AQ503" s="65"/>
      <c r="AR503" s="65"/>
      <c r="AS503" s="65"/>
      <c r="AT503" s="65"/>
    </row>
    <row r="504" spans="2:46" s="32" customFormat="1" x14ac:dyDescent="0.2">
      <c r="B504" s="44"/>
      <c r="C504" s="44"/>
      <c r="D504" s="35"/>
      <c r="E504" s="35"/>
      <c r="F504" s="35"/>
      <c r="G504" s="35"/>
      <c r="H504" s="35"/>
      <c r="I504" s="35"/>
      <c r="J504" s="35"/>
      <c r="K504" s="35"/>
      <c r="L504" s="35"/>
      <c r="M504" s="35"/>
      <c r="N504" s="35"/>
      <c r="O504" s="35"/>
      <c r="P504" s="35"/>
      <c r="Q504" s="35"/>
      <c r="R504" s="35"/>
      <c r="S504" s="35"/>
      <c r="T504" s="35"/>
      <c r="U504" s="35"/>
      <c r="AE504" s="65"/>
      <c r="AF504" s="65"/>
      <c r="AG504" s="65"/>
      <c r="AH504" s="65"/>
      <c r="AI504" s="65"/>
      <c r="AJ504" s="65"/>
      <c r="AK504" s="65"/>
      <c r="AL504" s="65"/>
      <c r="AM504" s="65"/>
      <c r="AN504" s="65"/>
      <c r="AO504" s="65"/>
      <c r="AP504" s="65"/>
      <c r="AQ504" s="65"/>
      <c r="AR504" s="65"/>
      <c r="AS504" s="65"/>
      <c r="AT504" s="65"/>
    </row>
    <row r="505" spans="2:46" s="32" customFormat="1" x14ac:dyDescent="0.2">
      <c r="B505" s="44"/>
      <c r="C505" s="44"/>
      <c r="D505" s="35"/>
      <c r="E505" s="35"/>
      <c r="F505" s="35"/>
      <c r="G505" s="35"/>
      <c r="H505" s="35"/>
      <c r="I505" s="35"/>
      <c r="J505" s="35"/>
      <c r="K505" s="35"/>
      <c r="L505" s="35"/>
      <c r="M505" s="35"/>
      <c r="N505" s="35"/>
      <c r="O505" s="35"/>
      <c r="P505" s="35"/>
      <c r="Q505" s="35"/>
      <c r="R505" s="35"/>
      <c r="S505" s="35"/>
      <c r="T505" s="35"/>
      <c r="U505" s="35"/>
      <c r="AE505" s="65"/>
      <c r="AF505" s="65"/>
      <c r="AG505" s="65"/>
      <c r="AH505" s="65"/>
      <c r="AI505" s="65"/>
      <c r="AJ505" s="65"/>
      <c r="AK505" s="65"/>
      <c r="AL505" s="65"/>
      <c r="AM505" s="65"/>
      <c r="AN505" s="65"/>
      <c r="AO505" s="65"/>
      <c r="AP505" s="65"/>
      <c r="AQ505" s="65"/>
      <c r="AR505" s="65"/>
      <c r="AS505" s="65"/>
      <c r="AT505" s="65"/>
    </row>
    <row r="506" spans="2:46" s="32" customFormat="1" x14ac:dyDescent="0.2">
      <c r="B506" s="44"/>
      <c r="C506" s="44"/>
      <c r="D506" s="35"/>
      <c r="E506" s="35"/>
      <c r="F506" s="35"/>
      <c r="G506" s="35"/>
      <c r="H506" s="35"/>
      <c r="I506" s="35"/>
      <c r="J506" s="35"/>
      <c r="K506" s="35"/>
      <c r="L506" s="35"/>
      <c r="M506" s="35"/>
      <c r="N506" s="35"/>
      <c r="O506" s="35"/>
      <c r="P506" s="35"/>
      <c r="Q506" s="35"/>
      <c r="R506" s="35"/>
      <c r="S506" s="35"/>
      <c r="T506" s="35"/>
      <c r="U506" s="35"/>
      <c r="AE506" s="65"/>
      <c r="AF506" s="65"/>
      <c r="AG506" s="65"/>
      <c r="AH506" s="65"/>
      <c r="AI506" s="65"/>
      <c r="AJ506" s="65"/>
      <c r="AK506" s="65"/>
      <c r="AL506" s="65"/>
      <c r="AM506" s="65"/>
      <c r="AN506" s="65"/>
      <c r="AO506" s="65"/>
      <c r="AP506" s="65"/>
      <c r="AQ506" s="65"/>
      <c r="AR506" s="65"/>
      <c r="AS506" s="65"/>
      <c r="AT506" s="65"/>
    </row>
    <row r="507" spans="2:46" s="32" customFormat="1" x14ac:dyDescent="0.2">
      <c r="B507" s="44"/>
      <c r="C507" s="44"/>
      <c r="D507" s="35"/>
      <c r="E507" s="35"/>
      <c r="F507" s="35"/>
      <c r="G507" s="35"/>
      <c r="H507" s="35"/>
      <c r="I507" s="35"/>
      <c r="J507" s="35"/>
      <c r="K507" s="35"/>
      <c r="L507" s="35"/>
      <c r="M507" s="35"/>
      <c r="N507" s="35"/>
      <c r="O507" s="35"/>
      <c r="P507" s="35"/>
      <c r="Q507" s="35"/>
      <c r="R507" s="35"/>
      <c r="S507" s="35"/>
      <c r="T507" s="35"/>
      <c r="U507" s="35"/>
      <c r="AE507" s="65"/>
      <c r="AF507" s="65"/>
      <c r="AG507" s="65"/>
      <c r="AH507" s="65"/>
      <c r="AI507" s="65"/>
      <c r="AJ507" s="65"/>
      <c r="AK507" s="65"/>
      <c r="AL507" s="65"/>
      <c r="AM507" s="65"/>
      <c r="AN507" s="65"/>
      <c r="AO507" s="65"/>
      <c r="AP507" s="65"/>
      <c r="AQ507" s="65"/>
      <c r="AR507" s="65"/>
      <c r="AS507" s="65"/>
      <c r="AT507" s="65"/>
    </row>
    <row r="508" spans="2:46" s="32" customFormat="1" x14ac:dyDescent="0.2">
      <c r="B508" s="44"/>
      <c r="C508" s="44"/>
      <c r="D508" s="35"/>
      <c r="E508" s="35"/>
      <c r="F508" s="35"/>
      <c r="G508" s="35"/>
      <c r="H508" s="35"/>
      <c r="I508" s="35"/>
      <c r="J508" s="35"/>
      <c r="K508" s="35"/>
      <c r="L508" s="35"/>
      <c r="M508" s="35"/>
      <c r="N508" s="35"/>
      <c r="O508" s="35"/>
      <c r="P508" s="35"/>
      <c r="Q508" s="35"/>
      <c r="R508" s="35"/>
      <c r="S508" s="35"/>
      <c r="T508" s="35"/>
      <c r="U508" s="35"/>
      <c r="AE508" s="65"/>
      <c r="AF508" s="65"/>
      <c r="AG508" s="65"/>
      <c r="AH508" s="65"/>
      <c r="AI508" s="65"/>
      <c r="AJ508" s="65"/>
      <c r="AK508" s="65"/>
      <c r="AL508" s="65"/>
      <c r="AM508" s="65"/>
      <c r="AN508" s="65"/>
      <c r="AO508" s="65"/>
      <c r="AP508" s="65"/>
      <c r="AQ508" s="65"/>
      <c r="AR508" s="65"/>
      <c r="AS508" s="65"/>
      <c r="AT508" s="65"/>
    </row>
    <row r="509" spans="2:46" s="32" customFormat="1" x14ac:dyDescent="0.2">
      <c r="B509" s="44"/>
      <c r="C509" s="44"/>
      <c r="D509" s="35"/>
      <c r="E509" s="35"/>
      <c r="F509" s="35"/>
      <c r="G509" s="35"/>
      <c r="H509" s="35"/>
      <c r="I509" s="35"/>
      <c r="J509" s="35"/>
      <c r="K509" s="35"/>
      <c r="L509" s="35"/>
      <c r="M509" s="35"/>
      <c r="N509" s="35"/>
      <c r="O509" s="35"/>
      <c r="P509" s="35"/>
      <c r="Q509" s="35"/>
      <c r="R509" s="35"/>
      <c r="S509" s="35"/>
      <c r="T509" s="35"/>
      <c r="U509" s="35"/>
      <c r="AE509" s="65"/>
      <c r="AF509" s="65"/>
      <c r="AG509" s="65"/>
      <c r="AH509" s="65"/>
      <c r="AI509" s="65"/>
      <c r="AJ509" s="65"/>
      <c r="AK509" s="65"/>
      <c r="AL509" s="65"/>
      <c r="AM509" s="65"/>
      <c r="AN509" s="65"/>
      <c r="AO509" s="65"/>
      <c r="AP509" s="65"/>
      <c r="AQ509" s="65"/>
      <c r="AR509" s="65"/>
      <c r="AS509" s="65"/>
      <c r="AT509" s="65"/>
    </row>
    <row r="510" spans="2:46" s="32" customFormat="1" x14ac:dyDescent="0.2">
      <c r="B510" s="44"/>
      <c r="C510" s="44"/>
      <c r="D510" s="35"/>
      <c r="E510" s="35"/>
      <c r="F510" s="35"/>
      <c r="G510" s="35"/>
      <c r="H510" s="35"/>
      <c r="I510" s="35"/>
      <c r="J510" s="35"/>
      <c r="K510" s="35"/>
      <c r="L510" s="35"/>
      <c r="M510" s="35"/>
      <c r="N510" s="35"/>
      <c r="O510" s="35"/>
      <c r="P510" s="35"/>
      <c r="Q510" s="35"/>
      <c r="R510" s="35"/>
      <c r="S510" s="35"/>
      <c r="T510" s="35"/>
      <c r="U510" s="35"/>
      <c r="AE510" s="65"/>
      <c r="AF510" s="65"/>
      <c r="AG510" s="65"/>
      <c r="AH510" s="65"/>
      <c r="AI510" s="65"/>
      <c r="AJ510" s="65"/>
      <c r="AK510" s="65"/>
      <c r="AL510" s="65"/>
      <c r="AM510" s="65"/>
      <c r="AN510" s="65"/>
      <c r="AO510" s="65"/>
      <c r="AP510" s="65"/>
      <c r="AQ510" s="65"/>
      <c r="AR510" s="65"/>
      <c r="AS510" s="65"/>
      <c r="AT510" s="65"/>
    </row>
    <row r="511" spans="2:46" s="32" customFormat="1" x14ac:dyDescent="0.2">
      <c r="B511" s="44"/>
      <c r="C511" s="44"/>
      <c r="D511" s="35"/>
      <c r="E511" s="35"/>
      <c r="F511" s="35"/>
      <c r="G511" s="35"/>
      <c r="H511" s="35"/>
      <c r="I511" s="35"/>
      <c r="J511" s="35"/>
      <c r="K511" s="35"/>
      <c r="L511" s="35"/>
      <c r="M511" s="35"/>
      <c r="N511" s="35"/>
      <c r="O511" s="35"/>
      <c r="P511" s="35"/>
      <c r="Q511" s="35"/>
      <c r="R511" s="35"/>
      <c r="S511" s="35"/>
      <c r="T511" s="35"/>
      <c r="U511" s="35"/>
      <c r="AE511" s="65"/>
      <c r="AF511" s="65"/>
      <c r="AG511" s="65"/>
      <c r="AH511" s="65"/>
      <c r="AI511" s="65"/>
      <c r="AJ511" s="65"/>
      <c r="AK511" s="65"/>
      <c r="AL511" s="65"/>
      <c r="AM511" s="65"/>
      <c r="AN511" s="65"/>
      <c r="AO511" s="65"/>
      <c r="AP511" s="65"/>
      <c r="AQ511" s="65"/>
      <c r="AR511" s="65"/>
      <c r="AS511" s="65"/>
      <c r="AT511" s="65"/>
    </row>
    <row r="512" spans="2:46" s="32" customFormat="1" x14ac:dyDescent="0.2">
      <c r="B512" s="44"/>
      <c r="C512" s="44"/>
      <c r="D512" s="35"/>
      <c r="E512" s="35"/>
      <c r="F512" s="35"/>
      <c r="G512" s="35"/>
      <c r="H512" s="35"/>
      <c r="I512" s="35"/>
      <c r="J512" s="35"/>
      <c r="K512" s="35"/>
      <c r="L512" s="35"/>
      <c r="M512" s="35"/>
      <c r="N512" s="35"/>
      <c r="O512" s="35"/>
      <c r="P512" s="35"/>
      <c r="Q512" s="35"/>
      <c r="R512" s="35"/>
      <c r="S512" s="35"/>
      <c r="T512" s="35"/>
      <c r="U512" s="35"/>
      <c r="AE512" s="65"/>
      <c r="AF512" s="65"/>
      <c r="AG512" s="65"/>
      <c r="AH512" s="65"/>
      <c r="AI512" s="65"/>
      <c r="AJ512" s="65"/>
      <c r="AK512" s="65"/>
      <c r="AL512" s="65"/>
      <c r="AM512" s="65"/>
      <c r="AN512" s="65"/>
      <c r="AO512" s="65"/>
      <c r="AP512" s="65"/>
      <c r="AQ512" s="65"/>
      <c r="AR512" s="65"/>
      <c r="AS512" s="65"/>
      <c r="AT512" s="65"/>
    </row>
    <row r="513" spans="2:46" s="32" customFormat="1" x14ac:dyDescent="0.2">
      <c r="B513" s="44"/>
      <c r="C513" s="44"/>
      <c r="D513" s="35"/>
      <c r="E513" s="35"/>
      <c r="F513" s="35"/>
      <c r="G513" s="35"/>
      <c r="H513" s="35"/>
      <c r="I513" s="35"/>
      <c r="J513" s="35"/>
      <c r="K513" s="35"/>
      <c r="L513" s="35"/>
      <c r="M513" s="35"/>
      <c r="N513" s="35"/>
      <c r="O513" s="35"/>
      <c r="P513" s="35"/>
      <c r="Q513" s="35"/>
      <c r="R513" s="35"/>
      <c r="S513" s="35"/>
      <c r="T513" s="35"/>
      <c r="U513" s="35"/>
      <c r="AE513" s="65"/>
      <c r="AF513" s="65"/>
      <c r="AG513" s="65"/>
      <c r="AH513" s="65"/>
      <c r="AI513" s="65"/>
      <c r="AJ513" s="65"/>
      <c r="AK513" s="65"/>
      <c r="AL513" s="65"/>
      <c r="AM513" s="65"/>
      <c r="AN513" s="65"/>
      <c r="AO513" s="65"/>
      <c r="AP513" s="65"/>
      <c r="AQ513" s="65"/>
      <c r="AR513" s="65"/>
      <c r="AS513" s="65"/>
      <c r="AT513" s="65"/>
    </row>
    <row r="514" spans="2:46" s="32" customFormat="1" x14ac:dyDescent="0.2">
      <c r="B514" s="44"/>
      <c r="C514" s="44"/>
      <c r="D514" s="35"/>
      <c r="E514" s="35"/>
      <c r="F514" s="35"/>
      <c r="G514" s="35"/>
      <c r="H514" s="35"/>
      <c r="I514" s="35"/>
      <c r="J514" s="35"/>
      <c r="K514" s="35"/>
      <c r="L514" s="35"/>
      <c r="M514" s="35"/>
      <c r="N514" s="35"/>
      <c r="O514" s="35"/>
      <c r="P514" s="35"/>
      <c r="Q514" s="35"/>
      <c r="R514" s="35"/>
      <c r="S514" s="35"/>
      <c r="T514" s="35"/>
      <c r="U514" s="35"/>
      <c r="AE514" s="65"/>
      <c r="AF514" s="65"/>
      <c r="AG514" s="65"/>
      <c r="AH514" s="65"/>
      <c r="AI514" s="65"/>
      <c r="AJ514" s="65"/>
      <c r="AK514" s="65"/>
      <c r="AL514" s="65"/>
      <c r="AM514" s="65"/>
      <c r="AN514" s="65"/>
      <c r="AO514" s="65"/>
      <c r="AP514" s="65"/>
      <c r="AQ514" s="65"/>
      <c r="AR514" s="65"/>
      <c r="AS514" s="65"/>
      <c r="AT514" s="65"/>
    </row>
    <row r="515" spans="2:46" s="32" customFormat="1" x14ac:dyDescent="0.2">
      <c r="B515" s="44"/>
      <c r="C515" s="44"/>
      <c r="D515" s="35"/>
      <c r="E515" s="35"/>
      <c r="F515" s="35"/>
      <c r="G515" s="35"/>
      <c r="H515" s="35"/>
      <c r="I515" s="35"/>
      <c r="J515" s="35"/>
      <c r="K515" s="35"/>
      <c r="L515" s="35"/>
      <c r="M515" s="35"/>
      <c r="N515" s="35"/>
      <c r="O515" s="35"/>
      <c r="P515" s="35"/>
      <c r="Q515" s="35"/>
      <c r="R515" s="35"/>
      <c r="S515" s="35"/>
      <c r="T515" s="35"/>
      <c r="U515" s="35"/>
      <c r="AE515" s="65"/>
      <c r="AF515" s="65"/>
      <c r="AG515" s="65"/>
      <c r="AH515" s="65"/>
      <c r="AI515" s="65"/>
      <c r="AJ515" s="65"/>
      <c r="AK515" s="65"/>
      <c r="AL515" s="65"/>
      <c r="AM515" s="65"/>
      <c r="AN515" s="65"/>
      <c r="AO515" s="65"/>
      <c r="AP515" s="65"/>
      <c r="AQ515" s="65"/>
      <c r="AR515" s="65"/>
      <c r="AS515" s="65"/>
      <c r="AT515" s="65"/>
    </row>
    <row r="516" spans="2:46" s="32" customFormat="1" x14ac:dyDescent="0.2">
      <c r="B516" s="44"/>
      <c r="C516" s="44"/>
      <c r="D516" s="35"/>
      <c r="E516" s="35"/>
      <c r="F516" s="35"/>
      <c r="G516" s="35"/>
      <c r="H516" s="35"/>
      <c r="I516" s="35"/>
      <c r="J516" s="35"/>
      <c r="K516" s="35"/>
      <c r="L516" s="35"/>
      <c r="M516" s="35"/>
      <c r="N516" s="35"/>
      <c r="O516" s="35"/>
      <c r="P516" s="35"/>
      <c r="Q516" s="35"/>
      <c r="R516" s="35"/>
      <c r="S516" s="35"/>
      <c r="T516" s="35"/>
      <c r="U516" s="35"/>
      <c r="AE516" s="65"/>
      <c r="AF516" s="65"/>
      <c r="AG516" s="65"/>
      <c r="AH516" s="65"/>
      <c r="AI516" s="65"/>
      <c r="AJ516" s="65"/>
      <c r="AK516" s="65"/>
      <c r="AL516" s="65"/>
      <c r="AM516" s="65"/>
      <c r="AN516" s="65"/>
      <c r="AO516" s="65"/>
      <c r="AP516" s="65"/>
      <c r="AQ516" s="65"/>
      <c r="AR516" s="65"/>
      <c r="AS516" s="65"/>
      <c r="AT516" s="65"/>
    </row>
    <row r="517" spans="2:46" s="32" customFormat="1" x14ac:dyDescent="0.2">
      <c r="B517" s="44"/>
      <c r="C517" s="44"/>
      <c r="D517" s="35"/>
      <c r="E517" s="35"/>
      <c r="F517" s="35"/>
      <c r="G517" s="35"/>
      <c r="H517" s="35"/>
      <c r="I517" s="35"/>
      <c r="J517" s="35"/>
      <c r="K517" s="35"/>
      <c r="L517" s="35"/>
      <c r="M517" s="35"/>
      <c r="N517" s="35"/>
      <c r="O517" s="35"/>
      <c r="P517" s="35"/>
      <c r="Q517" s="35"/>
      <c r="R517" s="35"/>
      <c r="S517" s="35"/>
      <c r="T517" s="35"/>
      <c r="U517" s="35"/>
      <c r="AE517" s="65"/>
      <c r="AF517" s="65"/>
      <c r="AG517" s="65"/>
      <c r="AH517" s="65"/>
      <c r="AI517" s="65"/>
      <c r="AJ517" s="65"/>
      <c r="AK517" s="65"/>
      <c r="AL517" s="65"/>
      <c r="AM517" s="65"/>
      <c r="AN517" s="65"/>
      <c r="AO517" s="65"/>
      <c r="AP517" s="65"/>
      <c r="AQ517" s="65"/>
      <c r="AR517" s="65"/>
      <c r="AS517" s="65"/>
      <c r="AT517" s="65"/>
    </row>
    <row r="518" spans="2:46" s="32" customFormat="1" x14ac:dyDescent="0.2">
      <c r="B518" s="44"/>
      <c r="C518" s="44"/>
      <c r="D518" s="35"/>
      <c r="E518" s="35"/>
      <c r="F518" s="35"/>
      <c r="G518" s="35"/>
      <c r="H518" s="35"/>
      <c r="I518" s="35"/>
      <c r="J518" s="35"/>
      <c r="K518" s="35"/>
      <c r="L518" s="35"/>
      <c r="M518" s="35"/>
      <c r="N518" s="35"/>
      <c r="O518" s="35"/>
      <c r="P518" s="35"/>
      <c r="Q518" s="35"/>
      <c r="R518" s="35"/>
      <c r="S518" s="35"/>
      <c r="T518" s="35"/>
      <c r="U518" s="35"/>
      <c r="AE518" s="65"/>
      <c r="AF518" s="65"/>
      <c r="AG518" s="65"/>
      <c r="AH518" s="65"/>
      <c r="AI518" s="65"/>
      <c r="AJ518" s="65"/>
      <c r="AK518" s="65"/>
      <c r="AL518" s="65"/>
      <c r="AM518" s="65"/>
      <c r="AN518" s="65"/>
      <c r="AO518" s="65"/>
      <c r="AP518" s="65"/>
      <c r="AQ518" s="65"/>
      <c r="AR518" s="65"/>
      <c r="AS518" s="65"/>
      <c r="AT518" s="65"/>
    </row>
    <row r="519" spans="2:46" s="32" customFormat="1" x14ac:dyDescent="0.2">
      <c r="B519" s="44"/>
      <c r="C519" s="44"/>
      <c r="D519" s="35"/>
      <c r="E519" s="35"/>
      <c r="F519" s="35"/>
      <c r="G519" s="35"/>
      <c r="H519" s="35"/>
      <c r="I519" s="35"/>
      <c r="J519" s="35"/>
      <c r="K519" s="35"/>
      <c r="L519" s="35"/>
      <c r="M519" s="35"/>
      <c r="N519" s="35"/>
      <c r="O519" s="35"/>
      <c r="P519" s="35"/>
      <c r="Q519" s="35"/>
      <c r="R519" s="35"/>
      <c r="S519" s="35"/>
      <c r="T519" s="35"/>
      <c r="U519" s="35"/>
      <c r="AE519" s="65"/>
      <c r="AF519" s="65"/>
      <c r="AG519" s="65"/>
      <c r="AH519" s="65"/>
      <c r="AI519" s="65"/>
      <c r="AJ519" s="65"/>
      <c r="AK519" s="65"/>
      <c r="AL519" s="65"/>
      <c r="AM519" s="65"/>
      <c r="AN519" s="65"/>
      <c r="AO519" s="65"/>
      <c r="AP519" s="65"/>
      <c r="AQ519" s="65"/>
      <c r="AR519" s="65"/>
      <c r="AS519" s="65"/>
      <c r="AT519" s="65"/>
    </row>
    <row r="520" spans="2:46" s="32" customFormat="1" x14ac:dyDescent="0.2">
      <c r="B520" s="44"/>
      <c r="C520" s="44"/>
      <c r="D520" s="35"/>
      <c r="E520" s="35"/>
      <c r="F520" s="35"/>
      <c r="G520" s="35"/>
      <c r="H520" s="35"/>
      <c r="I520" s="35"/>
      <c r="J520" s="35"/>
      <c r="K520" s="35"/>
      <c r="L520" s="35"/>
      <c r="M520" s="35"/>
      <c r="N520" s="35"/>
      <c r="O520" s="35"/>
      <c r="P520" s="35"/>
      <c r="Q520" s="35"/>
      <c r="R520" s="35"/>
      <c r="S520" s="35"/>
      <c r="T520" s="35"/>
      <c r="U520" s="35"/>
      <c r="AE520" s="65"/>
      <c r="AF520" s="65"/>
      <c r="AG520" s="65"/>
      <c r="AH520" s="65"/>
      <c r="AI520" s="65"/>
      <c r="AJ520" s="65"/>
      <c r="AK520" s="65"/>
      <c r="AL520" s="65"/>
      <c r="AM520" s="65"/>
      <c r="AN520" s="65"/>
      <c r="AO520" s="65"/>
      <c r="AP520" s="65"/>
      <c r="AQ520" s="65"/>
      <c r="AR520" s="65"/>
      <c r="AS520" s="65"/>
      <c r="AT520" s="65"/>
    </row>
    <row r="521" spans="2:46" s="32" customFormat="1" x14ac:dyDescent="0.2">
      <c r="B521" s="44"/>
      <c r="C521" s="44"/>
      <c r="D521" s="35"/>
      <c r="E521" s="35"/>
      <c r="F521" s="35"/>
      <c r="G521" s="35"/>
      <c r="H521" s="35"/>
      <c r="I521" s="35"/>
      <c r="J521" s="35"/>
      <c r="K521" s="35"/>
      <c r="L521" s="35"/>
      <c r="M521" s="35"/>
      <c r="N521" s="35"/>
      <c r="O521" s="35"/>
      <c r="P521" s="35"/>
      <c r="Q521" s="35"/>
      <c r="R521" s="35"/>
      <c r="S521" s="35"/>
      <c r="T521" s="35"/>
      <c r="U521" s="35"/>
      <c r="AE521" s="65"/>
      <c r="AF521" s="65"/>
      <c r="AG521" s="65"/>
      <c r="AH521" s="65"/>
      <c r="AI521" s="65"/>
      <c r="AJ521" s="65"/>
      <c r="AK521" s="65"/>
      <c r="AL521" s="65"/>
      <c r="AM521" s="65"/>
      <c r="AN521" s="65"/>
      <c r="AO521" s="65"/>
      <c r="AP521" s="65"/>
      <c r="AQ521" s="65"/>
      <c r="AR521" s="65"/>
      <c r="AS521" s="65"/>
      <c r="AT521" s="65"/>
    </row>
    <row r="522" spans="2:46" s="32" customFormat="1" x14ac:dyDescent="0.2">
      <c r="B522" s="44"/>
      <c r="C522" s="44"/>
      <c r="D522" s="35"/>
      <c r="E522" s="35"/>
      <c r="F522" s="35"/>
      <c r="G522" s="35"/>
      <c r="H522" s="35"/>
      <c r="I522" s="35"/>
      <c r="J522" s="35"/>
      <c r="K522" s="35"/>
      <c r="L522" s="35"/>
      <c r="M522" s="35"/>
      <c r="N522" s="35"/>
      <c r="O522" s="35"/>
      <c r="P522" s="35"/>
      <c r="Q522" s="35"/>
      <c r="R522" s="35"/>
      <c r="S522" s="35"/>
      <c r="T522" s="35"/>
      <c r="U522" s="35"/>
      <c r="AE522" s="65"/>
      <c r="AF522" s="65"/>
      <c r="AG522" s="65"/>
      <c r="AH522" s="65"/>
      <c r="AI522" s="65"/>
      <c r="AJ522" s="65"/>
      <c r="AK522" s="65"/>
      <c r="AL522" s="65"/>
      <c r="AM522" s="65"/>
      <c r="AN522" s="65"/>
      <c r="AO522" s="65"/>
      <c r="AP522" s="65"/>
      <c r="AQ522" s="65"/>
      <c r="AR522" s="65"/>
      <c r="AS522" s="65"/>
      <c r="AT522" s="65"/>
    </row>
    <row r="523" spans="2:46" s="32" customFormat="1" x14ac:dyDescent="0.2">
      <c r="B523" s="44"/>
      <c r="C523" s="44"/>
      <c r="D523" s="35"/>
      <c r="E523" s="35"/>
      <c r="F523" s="35"/>
      <c r="G523" s="35"/>
      <c r="H523" s="35"/>
      <c r="I523" s="35"/>
      <c r="J523" s="35"/>
      <c r="K523" s="35"/>
      <c r="L523" s="35"/>
      <c r="M523" s="35"/>
      <c r="N523" s="35"/>
      <c r="O523" s="35"/>
      <c r="P523" s="35"/>
      <c r="Q523" s="35"/>
      <c r="R523" s="35"/>
      <c r="S523" s="35"/>
      <c r="T523" s="35"/>
      <c r="U523" s="35"/>
      <c r="AE523" s="65"/>
      <c r="AF523" s="65"/>
      <c r="AG523" s="65"/>
      <c r="AH523" s="65"/>
      <c r="AI523" s="65"/>
      <c r="AJ523" s="65"/>
      <c r="AK523" s="65"/>
      <c r="AL523" s="65"/>
      <c r="AM523" s="65"/>
      <c r="AN523" s="65"/>
      <c r="AO523" s="65"/>
      <c r="AP523" s="65"/>
      <c r="AQ523" s="65"/>
      <c r="AR523" s="65"/>
      <c r="AS523" s="65"/>
      <c r="AT523" s="65"/>
    </row>
    <row r="524" spans="2:46" s="32" customFormat="1" x14ac:dyDescent="0.2">
      <c r="B524" s="44"/>
      <c r="C524" s="44"/>
      <c r="D524" s="35"/>
      <c r="E524" s="35"/>
      <c r="F524" s="35"/>
      <c r="G524" s="35"/>
      <c r="H524" s="35"/>
      <c r="I524" s="35"/>
      <c r="J524" s="35"/>
      <c r="K524" s="35"/>
      <c r="L524" s="35"/>
      <c r="M524" s="35"/>
      <c r="N524" s="35"/>
      <c r="O524" s="35"/>
      <c r="P524" s="35"/>
      <c r="Q524" s="35"/>
      <c r="R524" s="35"/>
      <c r="S524" s="35"/>
      <c r="T524" s="35"/>
      <c r="U524" s="35"/>
      <c r="AE524" s="65"/>
      <c r="AF524" s="65"/>
      <c r="AG524" s="65"/>
      <c r="AH524" s="65"/>
      <c r="AI524" s="65"/>
      <c r="AJ524" s="65"/>
      <c r="AK524" s="65"/>
      <c r="AL524" s="65"/>
      <c r="AM524" s="65"/>
      <c r="AN524" s="65"/>
      <c r="AO524" s="65"/>
      <c r="AP524" s="65"/>
      <c r="AQ524" s="65"/>
      <c r="AR524" s="65"/>
      <c r="AS524" s="65"/>
      <c r="AT524" s="65"/>
    </row>
    <row r="525" spans="2:46" s="32" customFormat="1" x14ac:dyDescent="0.2">
      <c r="B525" s="44"/>
      <c r="C525" s="44"/>
      <c r="D525" s="35"/>
      <c r="E525" s="35"/>
      <c r="F525" s="35"/>
      <c r="G525" s="35"/>
      <c r="H525" s="35"/>
      <c r="I525" s="35"/>
      <c r="J525" s="35"/>
      <c r="K525" s="35"/>
      <c r="L525" s="35"/>
      <c r="M525" s="35"/>
      <c r="N525" s="35"/>
      <c r="O525" s="35"/>
      <c r="P525" s="35"/>
      <c r="Q525" s="35"/>
      <c r="R525" s="35"/>
      <c r="S525" s="35"/>
      <c r="T525" s="35"/>
      <c r="U525" s="35"/>
      <c r="AE525" s="65"/>
      <c r="AF525" s="65"/>
      <c r="AG525" s="65"/>
      <c r="AH525" s="65"/>
      <c r="AI525" s="65"/>
      <c r="AJ525" s="65"/>
      <c r="AK525" s="65"/>
      <c r="AL525" s="65"/>
      <c r="AM525" s="65"/>
      <c r="AN525" s="65"/>
      <c r="AO525" s="65"/>
      <c r="AP525" s="65"/>
      <c r="AQ525" s="65"/>
      <c r="AR525" s="65"/>
      <c r="AS525" s="65"/>
      <c r="AT525" s="65"/>
    </row>
    <row r="526" spans="2:46" s="32" customFormat="1" x14ac:dyDescent="0.2">
      <c r="B526" s="44"/>
      <c r="C526" s="44"/>
      <c r="D526" s="35"/>
      <c r="E526" s="35"/>
      <c r="F526" s="35"/>
      <c r="G526" s="35"/>
      <c r="H526" s="35"/>
      <c r="I526" s="35"/>
      <c r="J526" s="35"/>
      <c r="K526" s="35"/>
      <c r="L526" s="35"/>
      <c r="M526" s="35"/>
      <c r="N526" s="35"/>
      <c r="O526" s="35"/>
      <c r="P526" s="35"/>
      <c r="Q526" s="35"/>
      <c r="R526" s="35"/>
      <c r="S526" s="35"/>
      <c r="T526" s="35"/>
      <c r="U526" s="35"/>
      <c r="AE526" s="65"/>
      <c r="AF526" s="65"/>
      <c r="AG526" s="65"/>
      <c r="AH526" s="65"/>
      <c r="AI526" s="65"/>
      <c r="AJ526" s="65"/>
      <c r="AK526" s="65"/>
      <c r="AL526" s="65"/>
      <c r="AM526" s="65"/>
      <c r="AN526" s="65"/>
      <c r="AO526" s="65"/>
      <c r="AP526" s="65"/>
      <c r="AQ526" s="65"/>
      <c r="AR526" s="65"/>
      <c r="AS526" s="65"/>
      <c r="AT526" s="65"/>
    </row>
    <row r="527" spans="2:46" s="32" customFormat="1" x14ac:dyDescent="0.2">
      <c r="B527" s="44"/>
      <c r="C527" s="44"/>
      <c r="D527" s="35"/>
      <c r="E527" s="35"/>
      <c r="F527" s="35"/>
      <c r="G527" s="35"/>
      <c r="H527" s="35"/>
      <c r="I527" s="35"/>
      <c r="J527" s="35"/>
      <c r="K527" s="35"/>
      <c r="L527" s="35"/>
      <c r="M527" s="35"/>
      <c r="N527" s="35"/>
      <c r="O527" s="35"/>
      <c r="P527" s="35"/>
      <c r="Q527" s="35"/>
      <c r="R527" s="35"/>
      <c r="S527" s="35"/>
      <c r="T527" s="35"/>
      <c r="U527" s="35"/>
      <c r="AE527" s="65"/>
      <c r="AF527" s="65"/>
      <c r="AG527" s="65"/>
      <c r="AH527" s="65"/>
      <c r="AI527" s="65"/>
      <c r="AJ527" s="65"/>
      <c r="AK527" s="65"/>
      <c r="AL527" s="65"/>
      <c r="AM527" s="65"/>
      <c r="AN527" s="65"/>
      <c r="AO527" s="65"/>
      <c r="AP527" s="65"/>
      <c r="AQ527" s="65"/>
      <c r="AR527" s="65"/>
      <c r="AS527" s="65"/>
      <c r="AT527" s="65"/>
    </row>
    <row r="528" spans="2:46" s="32" customFormat="1" x14ac:dyDescent="0.2">
      <c r="B528" s="44"/>
      <c r="C528" s="44"/>
      <c r="D528" s="35"/>
      <c r="E528" s="35"/>
      <c r="F528" s="35"/>
      <c r="G528" s="35"/>
      <c r="H528" s="35"/>
      <c r="I528" s="35"/>
      <c r="J528" s="35"/>
      <c r="K528" s="35"/>
      <c r="L528" s="35"/>
      <c r="M528" s="35"/>
      <c r="N528" s="35"/>
      <c r="O528" s="35"/>
      <c r="P528" s="35"/>
      <c r="Q528" s="35"/>
      <c r="R528" s="35"/>
      <c r="S528" s="35"/>
      <c r="T528" s="35"/>
      <c r="U528" s="35"/>
      <c r="AE528" s="65"/>
      <c r="AF528" s="65"/>
      <c r="AG528" s="65"/>
      <c r="AH528" s="65"/>
      <c r="AI528" s="65"/>
      <c r="AJ528" s="65"/>
      <c r="AK528" s="65"/>
      <c r="AL528" s="65"/>
      <c r="AM528" s="65"/>
      <c r="AN528" s="65"/>
      <c r="AO528" s="65"/>
      <c r="AP528" s="65"/>
      <c r="AQ528" s="65"/>
      <c r="AR528" s="65"/>
      <c r="AS528" s="65"/>
      <c r="AT528" s="65"/>
    </row>
    <row r="529" spans="2:46" s="32" customFormat="1" x14ac:dyDescent="0.2">
      <c r="B529" s="44"/>
      <c r="C529" s="44"/>
      <c r="D529" s="35"/>
      <c r="E529" s="35"/>
      <c r="F529" s="35"/>
      <c r="G529" s="35"/>
      <c r="H529" s="35"/>
      <c r="I529" s="35"/>
      <c r="J529" s="35"/>
      <c r="K529" s="35"/>
      <c r="L529" s="35"/>
      <c r="M529" s="35"/>
      <c r="N529" s="35"/>
      <c r="O529" s="35"/>
      <c r="P529" s="35"/>
      <c r="Q529" s="35"/>
      <c r="R529" s="35"/>
      <c r="S529" s="35"/>
      <c r="T529" s="35"/>
      <c r="U529" s="35"/>
      <c r="AE529" s="65"/>
      <c r="AF529" s="65"/>
      <c r="AG529" s="65"/>
      <c r="AH529" s="65"/>
      <c r="AI529" s="65"/>
      <c r="AJ529" s="65"/>
      <c r="AK529" s="65"/>
      <c r="AL529" s="65"/>
      <c r="AM529" s="65"/>
      <c r="AN529" s="65"/>
      <c r="AO529" s="65"/>
      <c r="AP529" s="65"/>
      <c r="AQ529" s="65"/>
      <c r="AR529" s="65"/>
      <c r="AS529" s="65"/>
      <c r="AT529" s="65"/>
    </row>
    <row r="530" spans="2:46" s="32" customFormat="1" x14ac:dyDescent="0.2">
      <c r="B530" s="44"/>
      <c r="C530" s="44"/>
      <c r="D530" s="35"/>
      <c r="E530" s="35"/>
      <c r="F530" s="35"/>
      <c r="G530" s="35"/>
      <c r="H530" s="35"/>
      <c r="I530" s="35"/>
      <c r="J530" s="35"/>
      <c r="K530" s="35"/>
      <c r="L530" s="35"/>
      <c r="M530" s="35"/>
      <c r="N530" s="35"/>
      <c r="O530" s="35"/>
      <c r="P530" s="35"/>
      <c r="Q530" s="35"/>
      <c r="R530" s="35"/>
      <c r="S530" s="35"/>
      <c r="T530" s="35"/>
      <c r="U530" s="35"/>
      <c r="AE530" s="65"/>
      <c r="AF530" s="65"/>
      <c r="AG530" s="65"/>
      <c r="AH530" s="65"/>
      <c r="AI530" s="65"/>
      <c r="AJ530" s="65"/>
      <c r="AK530" s="65"/>
      <c r="AL530" s="65"/>
      <c r="AM530" s="65"/>
      <c r="AN530" s="65"/>
      <c r="AO530" s="65"/>
      <c r="AP530" s="65"/>
      <c r="AQ530" s="65"/>
      <c r="AR530" s="65"/>
      <c r="AS530" s="65"/>
      <c r="AT530" s="65"/>
    </row>
    <row r="531" spans="2:46" s="32" customFormat="1" x14ac:dyDescent="0.2">
      <c r="B531" s="44"/>
      <c r="C531" s="44"/>
      <c r="D531" s="35"/>
      <c r="E531" s="35"/>
      <c r="F531" s="35"/>
      <c r="G531" s="35"/>
      <c r="H531" s="35"/>
      <c r="I531" s="35"/>
      <c r="J531" s="35"/>
      <c r="K531" s="35"/>
      <c r="L531" s="35"/>
      <c r="M531" s="35"/>
      <c r="N531" s="35"/>
      <c r="O531" s="35"/>
      <c r="P531" s="35"/>
      <c r="Q531" s="35"/>
      <c r="R531" s="35"/>
      <c r="S531" s="35"/>
      <c r="T531" s="35"/>
      <c r="U531" s="35"/>
      <c r="AE531" s="65"/>
      <c r="AF531" s="65"/>
      <c r="AG531" s="65"/>
      <c r="AH531" s="65"/>
      <c r="AI531" s="65"/>
      <c r="AJ531" s="65"/>
      <c r="AK531" s="65"/>
      <c r="AL531" s="65"/>
      <c r="AM531" s="65"/>
      <c r="AN531" s="65"/>
      <c r="AO531" s="65"/>
      <c r="AP531" s="65"/>
      <c r="AQ531" s="65"/>
      <c r="AR531" s="65"/>
      <c r="AS531" s="65"/>
      <c r="AT531" s="65"/>
    </row>
    <row r="532" spans="2:46" s="32" customFormat="1" x14ac:dyDescent="0.2">
      <c r="B532" s="44"/>
      <c r="C532" s="44"/>
      <c r="D532" s="35"/>
      <c r="E532" s="35"/>
      <c r="F532" s="35"/>
      <c r="G532" s="35"/>
      <c r="H532" s="35"/>
      <c r="I532" s="35"/>
      <c r="J532" s="35"/>
      <c r="K532" s="35"/>
      <c r="L532" s="35"/>
      <c r="M532" s="35"/>
      <c r="N532" s="35"/>
      <c r="O532" s="35"/>
      <c r="P532" s="35"/>
      <c r="Q532" s="35"/>
      <c r="R532" s="35"/>
      <c r="S532" s="35"/>
      <c r="T532" s="35"/>
      <c r="U532" s="35"/>
      <c r="AE532" s="65"/>
      <c r="AF532" s="65"/>
      <c r="AG532" s="65"/>
      <c r="AH532" s="65"/>
      <c r="AI532" s="65"/>
      <c r="AJ532" s="65"/>
      <c r="AK532" s="65"/>
      <c r="AL532" s="65"/>
      <c r="AM532" s="65"/>
      <c r="AN532" s="65"/>
      <c r="AO532" s="65"/>
      <c r="AP532" s="65"/>
      <c r="AQ532" s="65"/>
      <c r="AR532" s="65"/>
      <c r="AS532" s="65"/>
      <c r="AT532" s="65"/>
    </row>
    <row r="533" spans="2:46" s="32" customFormat="1" x14ac:dyDescent="0.2">
      <c r="B533" s="44"/>
      <c r="C533" s="44"/>
      <c r="D533" s="35"/>
      <c r="E533" s="35"/>
      <c r="F533" s="35"/>
      <c r="G533" s="35"/>
      <c r="H533" s="35"/>
      <c r="I533" s="35"/>
      <c r="J533" s="35"/>
      <c r="K533" s="35"/>
      <c r="L533" s="35"/>
      <c r="M533" s="35"/>
      <c r="N533" s="35"/>
      <c r="O533" s="35"/>
      <c r="P533" s="35"/>
      <c r="Q533" s="35"/>
      <c r="R533" s="35"/>
      <c r="S533" s="35"/>
      <c r="T533" s="35"/>
      <c r="U533" s="35"/>
      <c r="AE533" s="65"/>
      <c r="AF533" s="65"/>
      <c r="AG533" s="65"/>
      <c r="AH533" s="65"/>
      <c r="AI533" s="65"/>
      <c r="AJ533" s="65"/>
      <c r="AK533" s="65"/>
      <c r="AL533" s="65"/>
      <c r="AM533" s="65"/>
      <c r="AN533" s="65"/>
      <c r="AO533" s="65"/>
      <c r="AP533" s="65"/>
      <c r="AQ533" s="65"/>
      <c r="AR533" s="65"/>
      <c r="AS533" s="65"/>
      <c r="AT533" s="65"/>
    </row>
    <row r="534" spans="2:46" s="32" customFormat="1" x14ac:dyDescent="0.2">
      <c r="B534" s="44"/>
      <c r="C534" s="44"/>
      <c r="D534" s="35"/>
      <c r="E534" s="35"/>
      <c r="F534" s="35"/>
      <c r="G534" s="35"/>
      <c r="H534" s="35"/>
      <c r="I534" s="35"/>
      <c r="J534" s="35"/>
      <c r="K534" s="35"/>
      <c r="L534" s="35"/>
      <c r="M534" s="35"/>
      <c r="N534" s="35"/>
      <c r="O534" s="35"/>
      <c r="P534" s="35"/>
      <c r="Q534" s="35"/>
      <c r="R534" s="35"/>
      <c r="S534" s="35"/>
      <c r="T534" s="35"/>
      <c r="U534" s="35"/>
      <c r="AE534" s="65"/>
      <c r="AF534" s="65"/>
      <c r="AG534" s="65"/>
      <c r="AH534" s="65"/>
      <c r="AI534" s="65"/>
      <c r="AJ534" s="65"/>
      <c r="AK534" s="65"/>
      <c r="AL534" s="65"/>
      <c r="AM534" s="65"/>
      <c r="AN534" s="65"/>
      <c r="AO534" s="65"/>
      <c r="AP534" s="65"/>
      <c r="AQ534" s="65"/>
      <c r="AR534" s="65"/>
      <c r="AS534" s="65"/>
      <c r="AT534" s="65"/>
    </row>
    <row r="535" spans="2:46" s="32" customFormat="1" x14ac:dyDescent="0.2">
      <c r="B535" s="44"/>
      <c r="C535" s="44"/>
      <c r="D535" s="35"/>
      <c r="E535" s="35"/>
      <c r="F535" s="35"/>
      <c r="G535" s="35"/>
      <c r="H535" s="35"/>
      <c r="I535" s="35"/>
      <c r="J535" s="35"/>
      <c r="K535" s="35"/>
      <c r="L535" s="35"/>
      <c r="M535" s="35"/>
      <c r="N535" s="35"/>
      <c r="O535" s="35"/>
      <c r="P535" s="35"/>
      <c r="Q535" s="35"/>
      <c r="R535" s="35"/>
      <c r="S535" s="35"/>
      <c r="T535" s="35"/>
      <c r="U535" s="35"/>
      <c r="AE535" s="65"/>
      <c r="AF535" s="65"/>
      <c r="AG535" s="65"/>
      <c r="AH535" s="65"/>
      <c r="AI535" s="65"/>
      <c r="AJ535" s="65"/>
      <c r="AK535" s="65"/>
      <c r="AL535" s="65"/>
      <c r="AM535" s="65"/>
      <c r="AN535" s="65"/>
      <c r="AO535" s="65"/>
      <c r="AP535" s="65"/>
      <c r="AQ535" s="65"/>
      <c r="AR535" s="65"/>
      <c r="AS535" s="65"/>
      <c r="AT535" s="65"/>
    </row>
    <row r="536" spans="2:46" s="32" customFormat="1" x14ac:dyDescent="0.2">
      <c r="B536" s="44"/>
      <c r="C536" s="44"/>
      <c r="D536" s="35"/>
      <c r="E536" s="35"/>
      <c r="F536" s="35"/>
      <c r="G536" s="35"/>
      <c r="H536" s="35"/>
      <c r="I536" s="35"/>
      <c r="J536" s="35"/>
      <c r="K536" s="35"/>
      <c r="L536" s="35"/>
      <c r="M536" s="35"/>
      <c r="N536" s="35"/>
      <c r="O536" s="35"/>
      <c r="P536" s="35"/>
      <c r="Q536" s="35"/>
      <c r="R536" s="35"/>
      <c r="S536" s="35"/>
      <c r="T536" s="35"/>
      <c r="U536" s="35"/>
      <c r="AE536" s="65"/>
      <c r="AF536" s="65"/>
      <c r="AG536" s="65"/>
      <c r="AH536" s="65"/>
      <c r="AI536" s="65"/>
      <c r="AJ536" s="65"/>
      <c r="AK536" s="65"/>
      <c r="AL536" s="65"/>
      <c r="AM536" s="65"/>
      <c r="AN536" s="65"/>
      <c r="AO536" s="65"/>
      <c r="AP536" s="65"/>
      <c r="AQ536" s="65"/>
      <c r="AR536" s="65"/>
      <c r="AS536" s="65"/>
      <c r="AT536" s="65"/>
    </row>
    <row r="537" spans="2:46" s="32" customFormat="1" x14ac:dyDescent="0.2">
      <c r="B537" s="44"/>
      <c r="C537" s="44"/>
      <c r="D537" s="35"/>
      <c r="E537" s="35"/>
      <c r="F537" s="35"/>
      <c r="G537" s="35"/>
      <c r="H537" s="35"/>
      <c r="I537" s="35"/>
      <c r="J537" s="35"/>
      <c r="K537" s="35"/>
      <c r="L537" s="35"/>
      <c r="M537" s="35"/>
      <c r="N537" s="35"/>
      <c r="O537" s="35"/>
      <c r="P537" s="35"/>
      <c r="Q537" s="35"/>
      <c r="R537" s="35"/>
      <c r="S537" s="35"/>
      <c r="T537" s="35"/>
      <c r="U537" s="35"/>
      <c r="AE537" s="65"/>
      <c r="AF537" s="65"/>
      <c r="AG537" s="65"/>
      <c r="AH537" s="65"/>
      <c r="AI537" s="65"/>
      <c r="AJ537" s="65"/>
      <c r="AK537" s="65"/>
      <c r="AL537" s="65"/>
      <c r="AM537" s="65"/>
      <c r="AN537" s="65"/>
      <c r="AO537" s="65"/>
      <c r="AP537" s="65"/>
      <c r="AQ537" s="65"/>
      <c r="AR537" s="65"/>
      <c r="AS537" s="65"/>
      <c r="AT537" s="65"/>
    </row>
    <row r="538" spans="2:46" s="32" customFormat="1" x14ac:dyDescent="0.2">
      <c r="B538" s="44"/>
      <c r="C538" s="44"/>
      <c r="D538" s="35"/>
      <c r="E538" s="35"/>
      <c r="F538" s="35"/>
      <c r="G538" s="35"/>
      <c r="H538" s="35"/>
      <c r="I538" s="35"/>
      <c r="J538" s="35"/>
      <c r="K538" s="35"/>
      <c r="L538" s="35"/>
      <c r="M538" s="35"/>
      <c r="N538" s="35"/>
      <c r="O538" s="35"/>
      <c r="P538" s="35"/>
      <c r="Q538" s="35"/>
      <c r="R538" s="35"/>
      <c r="S538" s="35"/>
      <c r="T538" s="35"/>
      <c r="U538" s="35"/>
      <c r="AE538" s="65"/>
      <c r="AF538" s="65"/>
      <c r="AG538" s="65"/>
      <c r="AH538" s="65"/>
      <c r="AI538" s="65"/>
      <c r="AJ538" s="65"/>
      <c r="AK538" s="65"/>
      <c r="AL538" s="65"/>
      <c r="AM538" s="65"/>
      <c r="AN538" s="65"/>
      <c r="AO538" s="65"/>
      <c r="AP538" s="65"/>
      <c r="AQ538" s="65"/>
      <c r="AR538" s="65"/>
      <c r="AS538" s="65"/>
      <c r="AT538" s="65"/>
    </row>
    <row r="539" spans="2:46" s="32" customFormat="1" x14ac:dyDescent="0.2">
      <c r="B539" s="44"/>
      <c r="C539" s="44"/>
      <c r="D539" s="35"/>
      <c r="E539" s="35"/>
      <c r="F539" s="35"/>
      <c r="G539" s="35"/>
      <c r="H539" s="35"/>
      <c r="I539" s="35"/>
      <c r="J539" s="35"/>
      <c r="K539" s="35"/>
      <c r="L539" s="35"/>
      <c r="M539" s="35"/>
      <c r="N539" s="35"/>
      <c r="O539" s="35"/>
      <c r="P539" s="35"/>
      <c r="Q539" s="35"/>
      <c r="R539" s="35"/>
      <c r="S539" s="35"/>
      <c r="T539" s="35"/>
      <c r="U539" s="35"/>
      <c r="AE539" s="65"/>
      <c r="AF539" s="65"/>
      <c r="AG539" s="65"/>
      <c r="AH539" s="65"/>
      <c r="AI539" s="65"/>
      <c r="AJ539" s="65"/>
      <c r="AK539" s="65"/>
      <c r="AL539" s="65"/>
      <c r="AM539" s="65"/>
      <c r="AN539" s="65"/>
      <c r="AO539" s="65"/>
      <c r="AP539" s="65"/>
      <c r="AQ539" s="65"/>
      <c r="AR539" s="65"/>
      <c r="AS539" s="65"/>
      <c r="AT539" s="65"/>
    </row>
    <row r="540" spans="2:46" s="32" customFormat="1" x14ac:dyDescent="0.2">
      <c r="B540" s="44"/>
      <c r="C540" s="44"/>
      <c r="D540" s="35"/>
      <c r="E540" s="35"/>
      <c r="F540" s="35"/>
      <c r="G540" s="35"/>
      <c r="H540" s="35"/>
      <c r="I540" s="35"/>
      <c r="J540" s="35"/>
      <c r="K540" s="35"/>
      <c r="L540" s="35"/>
      <c r="M540" s="35"/>
      <c r="N540" s="35"/>
      <c r="O540" s="35"/>
      <c r="P540" s="35"/>
      <c r="Q540" s="35"/>
      <c r="R540" s="35"/>
      <c r="S540" s="35"/>
      <c r="T540" s="35"/>
      <c r="U540" s="35"/>
      <c r="AE540" s="65"/>
      <c r="AF540" s="65"/>
      <c r="AG540" s="65"/>
      <c r="AH540" s="65"/>
      <c r="AI540" s="65"/>
      <c r="AJ540" s="65"/>
      <c r="AK540" s="65"/>
      <c r="AL540" s="65"/>
      <c r="AM540" s="65"/>
      <c r="AN540" s="65"/>
      <c r="AO540" s="65"/>
      <c r="AP540" s="65"/>
      <c r="AQ540" s="65"/>
      <c r="AR540" s="65"/>
      <c r="AS540" s="65"/>
      <c r="AT540" s="65"/>
    </row>
    <row r="541" spans="2:46" s="32" customFormat="1" x14ac:dyDescent="0.2">
      <c r="B541" s="44"/>
      <c r="C541" s="44"/>
      <c r="D541" s="35"/>
      <c r="E541" s="35"/>
      <c r="F541" s="35"/>
      <c r="G541" s="35"/>
      <c r="H541" s="35"/>
      <c r="I541" s="35"/>
      <c r="J541" s="35"/>
      <c r="K541" s="35"/>
      <c r="L541" s="35"/>
      <c r="M541" s="35"/>
      <c r="N541" s="35"/>
      <c r="O541" s="35"/>
      <c r="P541" s="35"/>
      <c r="Q541" s="35"/>
      <c r="R541" s="35"/>
      <c r="S541" s="35"/>
      <c r="T541" s="35"/>
      <c r="U541" s="35"/>
      <c r="AE541" s="65"/>
      <c r="AF541" s="65"/>
      <c r="AG541" s="65"/>
      <c r="AH541" s="65"/>
      <c r="AI541" s="65"/>
      <c r="AJ541" s="65"/>
      <c r="AK541" s="65"/>
      <c r="AL541" s="65"/>
      <c r="AM541" s="65"/>
      <c r="AN541" s="65"/>
      <c r="AO541" s="65"/>
      <c r="AP541" s="65"/>
      <c r="AQ541" s="65"/>
      <c r="AR541" s="65"/>
      <c r="AS541" s="65"/>
      <c r="AT541" s="65"/>
    </row>
    <row r="542" spans="2:46" s="32" customFormat="1" x14ac:dyDescent="0.2">
      <c r="B542" s="44"/>
      <c r="C542" s="44"/>
      <c r="D542" s="35"/>
      <c r="E542" s="35"/>
      <c r="F542" s="35"/>
      <c r="G542" s="35"/>
      <c r="H542" s="35"/>
      <c r="I542" s="35"/>
      <c r="J542" s="35"/>
      <c r="K542" s="35"/>
      <c r="L542" s="35"/>
      <c r="M542" s="35"/>
      <c r="N542" s="35"/>
      <c r="O542" s="35"/>
      <c r="P542" s="35"/>
      <c r="Q542" s="35"/>
      <c r="R542" s="35"/>
      <c r="S542" s="35"/>
      <c r="T542" s="35"/>
      <c r="U542" s="35"/>
      <c r="AE542" s="65"/>
      <c r="AF542" s="65"/>
      <c r="AG542" s="65"/>
      <c r="AH542" s="65"/>
      <c r="AI542" s="65"/>
      <c r="AJ542" s="65"/>
      <c r="AK542" s="65"/>
      <c r="AL542" s="65"/>
      <c r="AM542" s="65"/>
      <c r="AN542" s="65"/>
      <c r="AO542" s="65"/>
      <c r="AP542" s="65"/>
      <c r="AQ542" s="65"/>
      <c r="AR542" s="65"/>
      <c r="AS542" s="65"/>
      <c r="AT542" s="65"/>
    </row>
    <row r="543" spans="2:46" s="32" customFormat="1" x14ac:dyDescent="0.2">
      <c r="B543" s="44"/>
      <c r="C543" s="44"/>
      <c r="D543" s="35"/>
      <c r="E543" s="35"/>
      <c r="F543" s="35"/>
      <c r="G543" s="35"/>
      <c r="H543" s="35"/>
      <c r="I543" s="35"/>
      <c r="J543" s="35"/>
      <c r="K543" s="35"/>
      <c r="L543" s="35"/>
      <c r="M543" s="35"/>
      <c r="N543" s="35"/>
      <c r="O543" s="35"/>
      <c r="P543" s="35"/>
      <c r="Q543" s="35"/>
      <c r="R543" s="35"/>
      <c r="S543" s="35"/>
      <c r="T543" s="35"/>
      <c r="U543" s="35"/>
      <c r="AE543" s="65"/>
      <c r="AF543" s="65"/>
      <c r="AG543" s="65"/>
      <c r="AH543" s="65"/>
      <c r="AI543" s="65"/>
      <c r="AJ543" s="65"/>
      <c r="AK543" s="65"/>
      <c r="AL543" s="65"/>
      <c r="AM543" s="65"/>
      <c r="AN543" s="65"/>
      <c r="AO543" s="65"/>
      <c r="AP543" s="65"/>
      <c r="AQ543" s="65"/>
      <c r="AR543" s="65"/>
      <c r="AS543" s="65"/>
      <c r="AT543" s="65"/>
    </row>
    <row r="544" spans="2:46" s="32" customFormat="1" x14ac:dyDescent="0.2">
      <c r="B544" s="44"/>
      <c r="C544" s="44"/>
      <c r="D544" s="35"/>
      <c r="E544" s="35"/>
      <c r="F544" s="35"/>
      <c r="G544" s="35"/>
      <c r="H544" s="35"/>
      <c r="I544" s="35"/>
      <c r="J544" s="35"/>
      <c r="K544" s="35"/>
      <c r="L544" s="35"/>
      <c r="M544" s="35"/>
      <c r="N544" s="35"/>
      <c r="O544" s="35"/>
      <c r="P544" s="35"/>
      <c r="Q544" s="35"/>
      <c r="R544" s="35"/>
      <c r="S544" s="35"/>
      <c r="T544" s="35"/>
      <c r="U544" s="35"/>
      <c r="AE544" s="65"/>
      <c r="AF544" s="65"/>
      <c r="AG544" s="65"/>
      <c r="AH544" s="65"/>
      <c r="AI544" s="65"/>
      <c r="AJ544" s="65"/>
      <c r="AK544" s="65"/>
      <c r="AL544" s="65"/>
      <c r="AM544" s="65"/>
      <c r="AN544" s="65"/>
      <c r="AO544" s="65"/>
      <c r="AP544" s="65"/>
      <c r="AQ544" s="65"/>
      <c r="AR544" s="65"/>
      <c r="AS544" s="65"/>
      <c r="AT544" s="65"/>
    </row>
    <row r="545" spans="2:46" s="32" customFormat="1" x14ac:dyDescent="0.2">
      <c r="B545" s="44"/>
      <c r="C545" s="44"/>
      <c r="D545" s="35"/>
      <c r="E545" s="35"/>
      <c r="F545" s="35"/>
      <c r="G545" s="35"/>
      <c r="H545" s="35"/>
      <c r="I545" s="35"/>
      <c r="J545" s="35"/>
      <c r="K545" s="35"/>
      <c r="L545" s="35"/>
      <c r="M545" s="35"/>
      <c r="N545" s="35"/>
      <c r="O545" s="35"/>
      <c r="P545" s="35"/>
      <c r="Q545" s="35"/>
      <c r="R545" s="35"/>
      <c r="S545" s="35"/>
      <c r="T545" s="35"/>
      <c r="U545" s="35"/>
      <c r="AE545" s="65"/>
      <c r="AF545" s="65"/>
      <c r="AG545" s="65"/>
      <c r="AH545" s="65"/>
      <c r="AI545" s="65"/>
      <c r="AJ545" s="65"/>
      <c r="AK545" s="65"/>
      <c r="AL545" s="65"/>
      <c r="AM545" s="65"/>
      <c r="AN545" s="65"/>
      <c r="AO545" s="65"/>
      <c r="AP545" s="65"/>
      <c r="AQ545" s="65"/>
      <c r="AR545" s="65"/>
      <c r="AS545" s="65"/>
      <c r="AT545" s="65"/>
    </row>
    <row r="546" spans="2:46" s="32" customFormat="1" x14ac:dyDescent="0.2">
      <c r="B546" s="44"/>
      <c r="C546" s="44"/>
      <c r="D546" s="35"/>
      <c r="E546" s="35"/>
      <c r="F546" s="35"/>
      <c r="G546" s="35"/>
      <c r="H546" s="35"/>
      <c r="I546" s="35"/>
      <c r="J546" s="35"/>
      <c r="K546" s="35"/>
      <c r="L546" s="35"/>
      <c r="M546" s="35"/>
      <c r="N546" s="35"/>
      <c r="O546" s="35"/>
      <c r="P546" s="35"/>
      <c r="Q546" s="35"/>
      <c r="R546" s="35"/>
      <c r="S546" s="35"/>
      <c r="T546" s="35"/>
      <c r="U546" s="35"/>
      <c r="AE546" s="65"/>
      <c r="AF546" s="65"/>
      <c r="AG546" s="65"/>
      <c r="AH546" s="65"/>
      <c r="AI546" s="65"/>
      <c r="AJ546" s="65"/>
      <c r="AK546" s="65"/>
      <c r="AL546" s="65"/>
      <c r="AM546" s="65"/>
      <c r="AN546" s="65"/>
      <c r="AO546" s="65"/>
      <c r="AP546" s="65"/>
      <c r="AQ546" s="65"/>
      <c r="AR546" s="65"/>
      <c r="AS546" s="65"/>
      <c r="AT546" s="65"/>
    </row>
    <row r="547" spans="2:46" s="32" customFormat="1" x14ac:dyDescent="0.2">
      <c r="B547" s="44"/>
      <c r="C547" s="44"/>
      <c r="D547" s="35"/>
      <c r="E547" s="35"/>
      <c r="F547" s="35"/>
      <c r="G547" s="35"/>
      <c r="H547" s="35"/>
      <c r="I547" s="35"/>
      <c r="J547" s="35"/>
      <c r="K547" s="35"/>
      <c r="L547" s="35"/>
      <c r="M547" s="35"/>
      <c r="N547" s="35"/>
      <c r="O547" s="35"/>
      <c r="P547" s="35"/>
      <c r="Q547" s="35"/>
      <c r="R547" s="35"/>
      <c r="S547" s="35"/>
      <c r="T547" s="35"/>
      <c r="U547" s="35"/>
      <c r="AE547" s="65"/>
      <c r="AF547" s="65"/>
      <c r="AG547" s="65"/>
      <c r="AH547" s="65"/>
      <c r="AI547" s="65"/>
      <c r="AJ547" s="65"/>
      <c r="AK547" s="65"/>
      <c r="AL547" s="65"/>
      <c r="AM547" s="65"/>
      <c r="AN547" s="65"/>
      <c r="AO547" s="65"/>
      <c r="AP547" s="65"/>
      <c r="AQ547" s="65"/>
      <c r="AR547" s="65"/>
      <c r="AS547" s="65"/>
      <c r="AT547" s="65"/>
    </row>
    <row r="548" spans="2:46" s="32" customFormat="1" x14ac:dyDescent="0.2">
      <c r="B548" s="44"/>
      <c r="C548" s="44"/>
      <c r="D548" s="35"/>
      <c r="E548" s="35"/>
      <c r="F548" s="35"/>
      <c r="G548" s="35"/>
      <c r="H548" s="35"/>
      <c r="I548" s="35"/>
      <c r="J548" s="35"/>
      <c r="K548" s="35"/>
      <c r="L548" s="35"/>
      <c r="M548" s="35"/>
      <c r="N548" s="35"/>
      <c r="O548" s="35"/>
      <c r="P548" s="35"/>
      <c r="Q548" s="35"/>
      <c r="R548" s="35"/>
      <c r="S548" s="35"/>
      <c r="T548" s="35"/>
      <c r="U548" s="35"/>
      <c r="AE548" s="65"/>
      <c r="AF548" s="65"/>
      <c r="AG548" s="65"/>
      <c r="AH548" s="65"/>
      <c r="AI548" s="65"/>
      <c r="AJ548" s="65"/>
      <c r="AK548" s="65"/>
      <c r="AL548" s="65"/>
      <c r="AM548" s="65"/>
      <c r="AN548" s="65"/>
      <c r="AO548" s="65"/>
      <c r="AP548" s="65"/>
      <c r="AQ548" s="65"/>
      <c r="AR548" s="65"/>
      <c r="AS548" s="65"/>
      <c r="AT548" s="65"/>
    </row>
    <row r="549" spans="2:46" s="32" customFormat="1" x14ac:dyDescent="0.2">
      <c r="B549" s="44"/>
      <c r="C549" s="44"/>
      <c r="D549" s="35"/>
      <c r="E549" s="35"/>
      <c r="F549" s="35"/>
      <c r="G549" s="35"/>
      <c r="H549" s="35"/>
      <c r="I549" s="35"/>
      <c r="J549" s="35"/>
      <c r="K549" s="35"/>
      <c r="L549" s="35"/>
      <c r="M549" s="35"/>
      <c r="N549" s="35"/>
      <c r="O549" s="35"/>
      <c r="P549" s="35"/>
      <c r="Q549" s="35"/>
      <c r="R549" s="35"/>
      <c r="S549" s="35"/>
      <c r="T549" s="35"/>
      <c r="U549" s="35"/>
      <c r="AE549" s="65"/>
      <c r="AF549" s="65"/>
      <c r="AG549" s="65"/>
      <c r="AH549" s="65"/>
      <c r="AI549" s="65"/>
      <c r="AJ549" s="65"/>
      <c r="AK549" s="65"/>
      <c r="AL549" s="65"/>
      <c r="AM549" s="65"/>
      <c r="AN549" s="65"/>
      <c r="AO549" s="65"/>
      <c r="AP549" s="65"/>
      <c r="AQ549" s="65"/>
      <c r="AR549" s="65"/>
      <c r="AS549" s="65"/>
      <c r="AT549" s="65"/>
    </row>
    <row r="550" spans="2:46" s="32" customFormat="1" x14ac:dyDescent="0.2">
      <c r="B550" s="44"/>
      <c r="C550" s="44"/>
      <c r="D550" s="35"/>
      <c r="E550" s="35"/>
      <c r="F550" s="35"/>
      <c r="G550" s="35"/>
      <c r="H550" s="35"/>
      <c r="I550" s="35"/>
      <c r="J550" s="35"/>
      <c r="K550" s="35"/>
      <c r="L550" s="35"/>
      <c r="M550" s="35"/>
      <c r="N550" s="35"/>
      <c r="O550" s="35"/>
      <c r="P550" s="35"/>
      <c r="Q550" s="35"/>
      <c r="R550" s="35"/>
      <c r="S550" s="35"/>
      <c r="T550" s="35"/>
      <c r="U550" s="35"/>
      <c r="AE550" s="65"/>
      <c r="AF550" s="65"/>
      <c r="AG550" s="65"/>
      <c r="AH550" s="65"/>
      <c r="AI550" s="65"/>
      <c r="AJ550" s="65"/>
      <c r="AK550" s="65"/>
      <c r="AL550" s="65"/>
      <c r="AM550" s="65"/>
      <c r="AN550" s="65"/>
      <c r="AO550" s="65"/>
      <c r="AP550" s="65"/>
      <c r="AQ550" s="65"/>
      <c r="AR550" s="65"/>
      <c r="AS550" s="65"/>
      <c r="AT550" s="65"/>
    </row>
    <row r="551" spans="2:46" s="32" customFormat="1" x14ac:dyDescent="0.2">
      <c r="B551" s="44"/>
      <c r="C551" s="44"/>
      <c r="D551" s="35"/>
      <c r="E551" s="35"/>
      <c r="F551" s="35"/>
      <c r="G551" s="35"/>
      <c r="H551" s="35"/>
      <c r="I551" s="35"/>
      <c r="J551" s="35"/>
      <c r="K551" s="35"/>
      <c r="L551" s="35"/>
      <c r="M551" s="35"/>
      <c r="N551" s="35"/>
      <c r="O551" s="35"/>
      <c r="P551" s="35"/>
      <c r="Q551" s="35"/>
      <c r="R551" s="35"/>
      <c r="S551" s="35"/>
      <c r="T551" s="35"/>
      <c r="U551" s="35"/>
      <c r="AE551" s="65"/>
      <c r="AF551" s="65"/>
      <c r="AG551" s="65"/>
      <c r="AH551" s="65"/>
      <c r="AI551" s="65"/>
      <c r="AJ551" s="65"/>
      <c r="AK551" s="65"/>
      <c r="AL551" s="65"/>
      <c r="AM551" s="65"/>
      <c r="AN551" s="65"/>
      <c r="AO551" s="65"/>
      <c r="AP551" s="65"/>
      <c r="AQ551" s="65"/>
      <c r="AR551" s="65"/>
      <c r="AS551" s="65"/>
      <c r="AT551" s="65"/>
    </row>
    <row r="552" spans="2:46" s="32" customFormat="1" x14ac:dyDescent="0.2">
      <c r="B552" s="44"/>
      <c r="C552" s="44"/>
      <c r="D552" s="35"/>
      <c r="E552" s="35"/>
      <c r="F552" s="35"/>
      <c r="G552" s="35"/>
      <c r="H552" s="35"/>
      <c r="I552" s="35"/>
      <c r="J552" s="35"/>
      <c r="K552" s="35"/>
      <c r="L552" s="35"/>
      <c r="M552" s="35"/>
      <c r="N552" s="35"/>
      <c r="O552" s="35"/>
      <c r="P552" s="35"/>
      <c r="Q552" s="35"/>
      <c r="R552" s="35"/>
      <c r="S552" s="35"/>
      <c r="T552" s="35"/>
      <c r="U552" s="35"/>
      <c r="AE552" s="65"/>
      <c r="AF552" s="65"/>
      <c r="AG552" s="65"/>
      <c r="AH552" s="65"/>
      <c r="AI552" s="65"/>
      <c r="AJ552" s="65"/>
      <c r="AK552" s="65"/>
      <c r="AL552" s="65"/>
      <c r="AM552" s="65"/>
      <c r="AN552" s="65"/>
      <c r="AO552" s="65"/>
      <c r="AP552" s="65"/>
      <c r="AQ552" s="65"/>
      <c r="AR552" s="65"/>
      <c r="AS552" s="65"/>
      <c r="AT552" s="65"/>
    </row>
    <row r="553" spans="2:46" s="32" customFormat="1" x14ac:dyDescent="0.2">
      <c r="B553" s="44"/>
      <c r="C553" s="44"/>
      <c r="D553" s="35"/>
      <c r="E553" s="35"/>
      <c r="F553" s="35"/>
      <c r="G553" s="35"/>
      <c r="H553" s="35"/>
      <c r="I553" s="35"/>
      <c r="J553" s="35"/>
      <c r="K553" s="35"/>
      <c r="L553" s="35"/>
      <c r="M553" s="35"/>
      <c r="N553" s="35"/>
      <c r="O553" s="35"/>
      <c r="P553" s="35"/>
      <c r="Q553" s="35"/>
      <c r="R553" s="35"/>
      <c r="S553" s="35"/>
      <c r="T553" s="35"/>
      <c r="U553" s="35"/>
      <c r="AE553" s="65"/>
      <c r="AF553" s="65"/>
      <c r="AG553" s="65"/>
      <c r="AH553" s="65"/>
      <c r="AI553" s="65"/>
      <c r="AJ553" s="65"/>
      <c r="AK553" s="65"/>
      <c r="AL553" s="65"/>
      <c r="AM553" s="65"/>
      <c r="AN553" s="65"/>
      <c r="AO553" s="65"/>
      <c r="AP553" s="65"/>
      <c r="AQ553" s="65"/>
      <c r="AR553" s="65"/>
      <c r="AS553" s="65"/>
      <c r="AT553" s="65"/>
    </row>
    <row r="554" spans="2:46" s="32" customFormat="1" x14ac:dyDescent="0.2">
      <c r="B554" s="44"/>
      <c r="C554" s="44"/>
      <c r="D554" s="35"/>
      <c r="E554" s="35"/>
      <c r="F554" s="35"/>
      <c r="G554" s="35"/>
      <c r="H554" s="35"/>
      <c r="I554" s="35"/>
      <c r="J554" s="35"/>
      <c r="K554" s="35"/>
      <c r="L554" s="35"/>
      <c r="M554" s="35"/>
      <c r="N554" s="35"/>
      <c r="O554" s="35"/>
      <c r="P554" s="35"/>
      <c r="Q554" s="35"/>
      <c r="R554" s="35"/>
      <c r="S554" s="35"/>
      <c r="T554" s="35"/>
      <c r="U554" s="35"/>
      <c r="AE554" s="65"/>
      <c r="AF554" s="65"/>
      <c r="AG554" s="65"/>
      <c r="AH554" s="65"/>
      <c r="AI554" s="65"/>
      <c r="AJ554" s="65"/>
      <c r="AK554" s="65"/>
      <c r="AL554" s="65"/>
      <c r="AM554" s="65"/>
      <c r="AN554" s="65"/>
      <c r="AO554" s="65"/>
      <c r="AP554" s="65"/>
      <c r="AQ554" s="65"/>
      <c r="AR554" s="65"/>
      <c r="AS554" s="65"/>
      <c r="AT554" s="65"/>
    </row>
    <row r="555" spans="2:46" s="32" customFormat="1" x14ac:dyDescent="0.2">
      <c r="B555" s="44"/>
      <c r="C555" s="44"/>
      <c r="D555" s="35"/>
      <c r="E555" s="35"/>
      <c r="F555" s="35"/>
      <c r="G555" s="35"/>
      <c r="H555" s="35"/>
      <c r="I555" s="35"/>
      <c r="J555" s="35"/>
      <c r="K555" s="35"/>
      <c r="L555" s="35"/>
      <c r="M555" s="35"/>
      <c r="N555" s="35"/>
      <c r="O555" s="35"/>
      <c r="P555" s="35"/>
      <c r="Q555" s="35"/>
      <c r="R555" s="35"/>
      <c r="S555" s="35"/>
      <c r="T555" s="35"/>
      <c r="U555" s="35"/>
      <c r="AE555" s="65"/>
      <c r="AF555" s="65"/>
      <c r="AG555" s="65"/>
      <c r="AH555" s="65"/>
      <c r="AI555" s="65"/>
      <c r="AJ555" s="65"/>
      <c r="AK555" s="65"/>
      <c r="AL555" s="65"/>
      <c r="AM555" s="65"/>
      <c r="AN555" s="65"/>
      <c r="AO555" s="65"/>
      <c r="AP555" s="65"/>
      <c r="AQ555" s="65"/>
      <c r="AR555" s="65"/>
      <c r="AS555" s="65"/>
      <c r="AT555" s="65"/>
    </row>
    <row r="556" spans="2:46" s="32" customFormat="1" x14ac:dyDescent="0.2">
      <c r="B556" s="44"/>
      <c r="C556" s="44"/>
      <c r="D556" s="35"/>
      <c r="E556" s="35"/>
      <c r="F556" s="35"/>
      <c r="G556" s="35"/>
      <c r="H556" s="35"/>
      <c r="I556" s="35"/>
      <c r="J556" s="35"/>
      <c r="K556" s="35"/>
      <c r="L556" s="35"/>
      <c r="M556" s="35"/>
      <c r="N556" s="35"/>
      <c r="O556" s="35"/>
      <c r="P556" s="35"/>
      <c r="Q556" s="35"/>
      <c r="R556" s="35"/>
      <c r="S556" s="35"/>
      <c r="T556" s="35"/>
      <c r="U556" s="35"/>
      <c r="AE556" s="65"/>
      <c r="AF556" s="65"/>
      <c r="AG556" s="65"/>
      <c r="AH556" s="65"/>
      <c r="AI556" s="65"/>
      <c r="AJ556" s="65"/>
      <c r="AK556" s="65"/>
      <c r="AL556" s="65"/>
      <c r="AM556" s="65"/>
      <c r="AN556" s="65"/>
      <c r="AO556" s="65"/>
      <c r="AP556" s="65"/>
      <c r="AQ556" s="65"/>
      <c r="AR556" s="65"/>
      <c r="AS556" s="65"/>
      <c r="AT556" s="65"/>
    </row>
    <row r="557" spans="2:46" s="32" customFormat="1" x14ac:dyDescent="0.2">
      <c r="B557" s="44"/>
      <c r="C557" s="44"/>
      <c r="D557" s="35"/>
      <c r="E557" s="35"/>
      <c r="F557" s="35"/>
      <c r="G557" s="35"/>
      <c r="H557" s="35"/>
      <c r="I557" s="35"/>
      <c r="J557" s="35"/>
      <c r="K557" s="35"/>
      <c r="L557" s="35"/>
      <c r="M557" s="35"/>
      <c r="N557" s="35"/>
      <c r="O557" s="35"/>
      <c r="P557" s="35"/>
      <c r="Q557" s="35"/>
      <c r="R557" s="35"/>
      <c r="S557" s="35"/>
      <c r="T557" s="35"/>
      <c r="U557" s="35"/>
      <c r="AE557" s="65"/>
      <c r="AF557" s="65"/>
      <c r="AG557" s="65"/>
      <c r="AH557" s="65"/>
      <c r="AI557" s="65"/>
      <c r="AJ557" s="65"/>
      <c r="AK557" s="65"/>
      <c r="AL557" s="65"/>
      <c r="AM557" s="65"/>
      <c r="AN557" s="65"/>
      <c r="AO557" s="65"/>
      <c r="AP557" s="65"/>
      <c r="AQ557" s="65"/>
      <c r="AR557" s="65"/>
      <c r="AS557" s="65"/>
      <c r="AT557" s="65"/>
    </row>
    <row r="558" spans="2:46" s="32" customFormat="1" x14ac:dyDescent="0.2">
      <c r="B558" s="44"/>
      <c r="C558" s="44"/>
      <c r="D558" s="35"/>
      <c r="E558" s="35"/>
      <c r="F558" s="35"/>
      <c r="G558" s="35"/>
      <c r="H558" s="35"/>
      <c r="I558" s="35"/>
      <c r="J558" s="35"/>
      <c r="K558" s="35"/>
      <c r="L558" s="35"/>
      <c r="M558" s="35"/>
      <c r="N558" s="35"/>
      <c r="O558" s="35"/>
      <c r="P558" s="35"/>
      <c r="Q558" s="35"/>
      <c r="R558" s="35"/>
      <c r="S558" s="35"/>
      <c r="T558" s="35"/>
      <c r="U558" s="35"/>
      <c r="AE558" s="65"/>
      <c r="AF558" s="65"/>
      <c r="AG558" s="65"/>
      <c r="AH558" s="65"/>
      <c r="AI558" s="65"/>
      <c r="AJ558" s="65"/>
      <c r="AK558" s="65"/>
      <c r="AL558" s="65"/>
      <c r="AM558" s="65"/>
      <c r="AN558" s="65"/>
      <c r="AO558" s="65"/>
      <c r="AP558" s="65"/>
      <c r="AQ558" s="65"/>
      <c r="AR558" s="65"/>
      <c r="AS558" s="65"/>
      <c r="AT558" s="65"/>
    </row>
    <row r="559" spans="2:46" s="32" customFormat="1" x14ac:dyDescent="0.2">
      <c r="B559" s="44"/>
      <c r="C559" s="44"/>
      <c r="D559" s="35"/>
      <c r="E559" s="35"/>
      <c r="F559" s="35"/>
      <c r="G559" s="35"/>
      <c r="H559" s="35"/>
      <c r="I559" s="35"/>
      <c r="J559" s="35"/>
      <c r="K559" s="35"/>
      <c r="L559" s="35"/>
      <c r="M559" s="35"/>
      <c r="N559" s="35"/>
      <c r="O559" s="35"/>
      <c r="P559" s="35"/>
      <c r="Q559" s="35"/>
      <c r="R559" s="35"/>
      <c r="S559" s="35"/>
      <c r="T559" s="35"/>
      <c r="U559" s="35"/>
      <c r="AE559" s="65"/>
      <c r="AF559" s="65"/>
      <c r="AG559" s="65"/>
      <c r="AH559" s="65"/>
      <c r="AI559" s="65"/>
      <c r="AJ559" s="65"/>
      <c r="AK559" s="65"/>
      <c r="AL559" s="65"/>
      <c r="AM559" s="65"/>
      <c r="AN559" s="65"/>
      <c r="AO559" s="65"/>
      <c r="AP559" s="65"/>
      <c r="AQ559" s="65"/>
      <c r="AR559" s="65"/>
      <c r="AS559" s="65"/>
      <c r="AT559" s="65"/>
    </row>
    <row r="560" spans="2:46" s="32" customFormat="1" x14ac:dyDescent="0.2">
      <c r="B560" s="44"/>
      <c r="C560" s="44"/>
      <c r="D560" s="35"/>
      <c r="E560" s="35"/>
      <c r="F560" s="35"/>
      <c r="G560" s="35"/>
      <c r="H560" s="35"/>
      <c r="I560" s="35"/>
      <c r="J560" s="35"/>
      <c r="K560" s="35"/>
      <c r="L560" s="35"/>
      <c r="M560" s="35"/>
      <c r="N560" s="35"/>
      <c r="O560" s="35"/>
      <c r="P560" s="35"/>
      <c r="Q560" s="35"/>
      <c r="R560" s="35"/>
      <c r="S560" s="35"/>
      <c r="T560" s="35"/>
      <c r="U560" s="35"/>
      <c r="AE560" s="65"/>
      <c r="AF560" s="65"/>
      <c r="AG560" s="65"/>
      <c r="AH560" s="65"/>
      <c r="AI560" s="65"/>
      <c r="AJ560" s="65"/>
      <c r="AK560" s="65"/>
      <c r="AL560" s="65"/>
      <c r="AM560" s="65"/>
      <c r="AN560" s="65"/>
      <c r="AO560" s="65"/>
      <c r="AP560" s="65"/>
      <c r="AQ560" s="65"/>
      <c r="AR560" s="65"/>
      <c r="AS560" s="65"/>
      <c r="AT560" s="65"/>
    </row>
    <row r="561" spans="2:46" s="32" customFormat="1" x14ac:dyDescent="0.2">
      <c r="B561" s="44"/>
      <c r="C561" s="44"/>
      <c r="D561" s="35"/>
      <c r="E561" s="35"/>
      <c r="F561" s="35"/>
      <c r="G561" s="35"/>
      <c r="H561" s="35"/>
      <c r="I561" s="35"/>
      <c r="J561" s="35"/>
      <c r="K561" s="35"/>
      <c r="L561" s="35"/>
      <c r="M561" s="35"/>
      <c r="N561" s="35"/>
      <c r="O561" s="35"/>
      <c r="P561" s="35"/>
      <c r="Q561" s="35"/>
      <c r="R561" s="35"/>
      <c r="S561" s="35"/>
      <c r="T561" s="35"/>
      <c r="U561" s="35"/>
      <c r="AE561" s="65"/>
      <c r="AF561" s="65"/>
      <c r="AG561" s="65"/>
      <c r="AH561" s="65"/>
      <c r="AI561" s="65"/>
      <c r="AJ561" s="65"/>
      <c r="AK561" s="65"/>
      <c r="AL561" s="65"/>
      <c r="AM561" s="65"/>
      <c r="AN561" s="65"/>
      <c r="AO561" s="65"/>
      <c r="AP561" s="65"/>
      <c r="AQ561" s="65"/>
      <c r="AR561" s="65"/>
      <c r="AS561" s="65"/>
      <c r="AT561" s="65"/>
    </row>
    <row r="562" spans="2:46" s="32" customFormat="1" x14ac:dyDescent="0.2">
      <c r="B562" s="44"/>
      <c r="C562" s="44"/>
      <c r="D562" s="35"/>
      <c r="E562" s="35"/>
      <c r="F562" s="35"/>
      <c r="G562" s="35"/>
      <c r="H562" s="35"/>
      <c r="I562" s="35"/>
      <c r="J562" s="35"/>
      <c r="K562" s="35"/>
      <c r="L562" s="35"/>
      <c r="M562" s="35"/>
      <c r="N562" s="35"/>
      <c r="O562" s="35"/>
      <c r="P562" s="35"/>
      <c r="Q562" s="35"/>
      <c r="R562" s="35"/>
      <c r="S562" s="35"/>
      <c r="T562" s="35"/>
      <c r="U562" s="35"/>
      <c r="AE562" s="65"/>
      <c r="AF562" s="65"/>
      <c r="AG562" s="65"/>
      <c r="AH562" s="65"/>
      <c r="AI562" s="65"/>
      <c r="AJ562" s="65"/>
      <c r="AK562" s="65"/>
      <c r="AL562" s="65"/>
      <c r="AM562" s="65"/>
      <c r="AN562" s="65"/>
      <c r="AO562" s="65"/>
      <c r="AP562" s="65"/>
      <c r="AQ562" s="65"/>
      <c r="AR562" s="65"/>
      <c r="AS562" s="65"/>
      <c r="AT562" s="65"/>
    </row>
    <row r="563" spans="2:46" s="32" customFormat="1" x14ac:dyDescent="0.2">
      <c r="B563" s="44"/>
      <c r="C563" s="44"/>
      <c r="D563" s="35"/>
      <c r="E563" s="35"/>
      <c r="F563" s="35"/>
      <c r="G563" s="35"/>
      <c r="H563" s="35"/>
      <c r="I563" s="35"/>
      <c r="J563" s="35"/>
      <c r="K563" s="35"/>
      <c r="L563" s="35"/>
      <c r="M563" s="35"/>
      <c r="N563" s="35"/>
      <c r="O563" s="35"/>
      <c r="P563" s="35"/>
      <c r="Q563" s="35"/>
      <c r="R563" s="35"/>
      <c r="S563" s="35"/>
      <c r="T563" s="35"/>
      <c r="U563" s="35"/>
      <c r="AE563" s="65"/>
      <c r="AF563" s="65"/>
      <c r="AG563" s="65"/>
      <c r="AH563" s="65"/>
      <c r="AI563" s="65"/>
      <c r="AJ563" s="65"/>
      <c r="AK563" s="65"/>
      <c r="AL563" s="65"/>
      <c r="AM563" s="65"/>
      <c r="AN563" s="65"/>
      <c r="AO563" s="65"/>
      <c r="AP563" s="65"/>
      <c r="AQ563" s="65"/>
      <c r="AR563" s="65"/>
      <c r="AS563" s="65"/>
      <c r="AT563" s="65"/>
    </row>
    <row r="564" spans="2:46" s="32" customFormat="1" x14ac:dyDescent="0.2">
      <c r="B564" s="44"/>
      <c r="C564" s="44"/>
      <c r="D564" s="35"/>
      <c r="E564" s="35"/>
      <c r="F564" s="35"/>
      <c r="G564" s="35"/>
      <c r="H564" s="35"/>
      <c r="I564" s="35"/>
      <c r="J564" s="35"/>
      <c r="K564" s="35"/>
      <c r="L564" s="35"/>
      <c r="M564" s="35"/>
      <c r="N564" s="35"/>
      <c r="O564" s="35"/>
      <c r="P564" s="35"/>
      <c r="Q564" s="35"/>
      <c r="R564" s="35"/>
      <c r="S564" s="35"/>
      <c r="T564" s="35"/>
      <c r="U564" s="35"/>
      <c r="AE564" s="65"/>
      <c r="AF564" s="65"/>
      <c r="AG564" s="65"/>
      <c r="AH564" s="65"/>
      <c r="AI564" s="65"/>
      <c r="AJ564" s="65"/>
      <c r="AK564" s="65"/>
      <c r="AL564" s="65"/>
      <c r="AM564" s="65"/>
      <c r="AN564" s="65"/>
      <c r="AO564" s="65"/>
      <c r="AP564" s="65"/>
      <c r="AQ564" s="65"/>
      <c r="AR564" s="65"/>
      <c r="AS564" s="65"/>
      <c r="AT564" s="65"/>
    </row>
    <row r="565" spans="2:46" s="32" customFormat="1" x14ac:dyDescent="0.2">
      <c r="B565" s="44"/>
      <c r="C565" s="44"/>
      <c r="D565" s="35"/>
      <c r="E565" s="35"/>
      <c r="F565" s="35"/>
      <c r="G565" s="35"/>
      <c r="H565" s="35"/>
      <c r="I565" s="35"/>
      <c r="J565" s="35"/>
      <c r="K565" s="35"/>
      <c r="L565" s="35"/>
      <c r="M565" s="35"/>
      <c r="N565" s="35"/>
      <c r="O565" s="35"/>
      <c r="P565" s="35"/>
      <c r="Q565" s="35"/>
      <c r="R565" s="35"/>
      <c r="S565" s="35"/>
      <c r="T565" s="35"/>
      <c r="U565" s="35"/>
      <c r="AE565" s="65"/>
      <c r="AF565" s="65"/>
      <c r="AG565" s="65"/>
      <c r="AH565" s="65"/>
      <c r="AI565" s="65"/>
      <c r="AJ565" s="65"/>
      <c r="AK565" s="65"/>
      <c r="AL565" s="65"/>
      <c r="AM565" s="65"/>
      <c r="AN565" s="65"/>
      <c r="AO565" s="65"/>
      <c r="AP565" s="65"/>
      <c r="AQ565" s="65"/>
      <c r="AR565" s="65"/>
      <c r="AS565" s="65"/>
      <c r="AT565" s="65"/>
    </row>
    <row r="566" spans="2:46" s="32" customFormat="1" x14ac:dyDescent="0.2">
      <c r="B566" s="44"/>
      <c r="C566" s="44"/>
      <c r="D566" s="35"/>
      <c r="E566" s="35"/>
      <c r="F566" s="35"/>
      <c r="G566" s="35"/>
      <c r="H566" s="35"/>
      <c r="I566" s="35"/>
      <c r="J566" s="35"/>
      <c r="K566" s="35"/>
      <c r="L566" s="35"/>
      <c r="M566" s="35"/>
      <c r="N566" s="35"/>
      <c r="O566" s="35"/>
      <c r="P566" s="35"/>
      <c r="Q566" s="35"/>
      <c r="R566" s="35"/>
      <c r="S566" s="35"/>
      <c r="T566" s="35"/>
      <c r="U566" s="35"/>
      <c r="AE566" s="65"/>
      <c r="AF566" s="65"/>
      <c r="AG566" s="65"/>
      <c r="AH566" s="65"/>
      <c r="AI566" s="65"/>
      <c r="AJ566" s="65"/>
      <c r="AK566" s="65"/>
      <c r="AL566" s="65"/>
      <c r="AM566" s="65"/>
      <c r="AN566" s="65"/>
      <c r="AO566" s="65"/>
      <c r="AP566" s="65"/>
      <c r="AQ566" s="65"/>
      <c r="AR566" s="65"/>
      <c r="AS566" s="65"/>
      <c r="AT566" s="65"/>
    </row>
    <row r="567" spans="2:46" s="32" customFormat="1" x14ac:dyDescent="0.2">
      <c r="B567" s="44"/>
      <c r="C567" s="44"/>
      <c r="D567" s="35"/>
      <c r="E567" s="35"/>
      <c r="F567" s="35"/>
      <c r="G567" s="35"/>
      <c r="H567" s="35"/>
      <c r="I567" s="35"/>
      <c r="J567" s="35"/>
      <c r="K567" s="35"/>
      <c r="L567" s="35"/>
      <c r="M567" s="35"/>
      <c r="N567" s="35"/>
      <c r="O567" s="35"/>
      <c r="P567" s="35"/>
      <c r="Q567" s="35"/>
      <c r="R567" s="35"/>
      <c r="S567" s="35"/>
      <c r="T567" s="35"/>
      <c r="U567" s="35"/>
      <c r="AE567" s="65"/>
      <c r="AF567" s="65"/>
      <c r="AG567" s="65"/>
      <c r="AH567" s="65"/>
      <c r="AI567" s="65"/>
      <c r="AJ567" s="65"/>
      <c r="AK567" s="65"/>
      <c r="AL567" s="65"/>
      <c r="AM567" s="65"/>
      <c r="AN567" s="65"/>
      <c r="AO567" s="65"/>
      <c r="AP567" s="65"/>
      <c r="AQ567" s="65"/>
      <c r="AR567" s="65"/>
      <c r="AS567" s="65"/>
      <c r="AT567" s="65"/>
    </row>
    <row r="568" spans="2:46" s="32" customFormat="1" x14ac:dyDescent="0.2">
      <c r="B568" s="44"/>
      <c r="C568" s="44"/>
      <c r="D568" s="35"/>
      <c r="E568" s="35"/>
      <c r="F568" s="35"/>
      <c r="G568" s="35"/>
      <c r="H568" s="35"/>
      <c r="I568" s="35"/>
      <c r="J568" s="35"/>
      <c r="K568" s="35"/>
      <c r="L568" s="35"/>
      <c r="M568" s="35"/>
      <c r="N568" s="35"/>
      <c r="O568" s="35"/>
      <c r="P568" s="35"/>
      <c r="Q568" s="35"/>
      <c r="R568" s="35"/>
      <c r="S568" s="35"/>
      <c r="T568" s="35"/>
      <c r="U568" s="35"/>
      <c r="AE568" s="65"/>
      <c r="AF568" s="65"/>
      <c r="AG568" s="65"/>
      <c r="AH568" s="65"/>
      <c r="AI568" s="65"/>
      <c r="AJ568" s="65"/>
      <c r="AK568" s="65"/>
      <c r="AL568" s="65"/>
      <c r="AM568" s="65"/>
      <c r="AN568" s="65"/>
      <c r="AO568" s="65"/>
      <c r="AP568" s="65"/>
      <c r="AQ568" s="65"/>
      <c r="AR568" s="65"/>
      <c r="AS568" s="65"/>
      <c r="AT568" s="65"/>
    </row>
    <row r="569" spans="2:46" s="32" customFormat="1" x14ac:dyDescent="0.2">
      <c r="B569" s="44"/>
      <c r="C569" s="44"/>
      <c r="D569" s="35"/>
      <c r="E569" s="35"/>
      <c r="F569" s="35"/>
      <c r="G569" s="35"/>
      <c r="H569" s="35"/>
      <c r="I569" s="35"/>
      <c r="J569" s="35"/>
      <c r="K569" s="35"/>
      <c r="L569" s="35"/>
      <c r="M569" s="35"/>
      <c r="N569" s="35"/>
      <c r="O569" s="35"/>
      <c r="P569" s="35"/>
      <c r="Q569" s="35"/>
      <c r="R569" s="35"/>
      <c r="S569" s="35"/>
      <c r="T569" s="35"/>
      <c r="U569" s="35"/>
      <c r="AE569" s="65"/>
      <c r="AF569" s="65"/>
      <c r="AG569" s="65"/>
      <c r="AH569" s="65"/>
      <c r="AI569" s="65"/>
      <c r="AJ569" s="65"/>
      <c r="AK569" s="65"/>
      <c r="AL569" s="65"/>
      <c r="AM569" s="65"/>
      <c r="AN569" s="65"/>
      <c r="AO569" s="65"/>
      <c r="AP569" s="65"/>
      <c r="AQ569" s="65"/>
      <c r="AR569" s="65"/>
      <c r="AS569" s="65"/>
      <c r="AT569" s="65"/>
    </row>
    <row r="570" spans="2:46" s="32" customFormat="1" x14ac:dyDescent="0.2">
      <c r="B570" s="44"/>
      <c r="C570" s="44"/>
      <c r="D570" s="35"/>
      <c r="E570" s="35"/>
      <c r="F570" s="35"/>
      <c r="G570" s="35"/>
      <c r="H570" s="35"/>
      <c r="I570" s="35"/>
      <c r="J570" s="35"/>
      <c r="K570" s="35"/>
      <c r="L570" s="35"/>
      <c r="M570" s="35"/>
      <c r="N570" s="35"/>
      <c r="O570" s="35"/>
      <c r="P570" s="35"/>
      <c r="Q570" s="35"/>
      <c r="R570" s="35"/>
      <c r="S570" s="35"/>
      <c r="T570" s="35"/>
      <c r="U570" s="35"/>
      <c r="AE570" s="65"/>
      <c r="AF570" s="65"/>
      <c r="AG570" s="65"/>
      <c r="AH570" s="65"/>
      <c r="AI570" s="65"/>
      <c r="AJ570" s="65"/>
      <c r="AK570" s="65"/>
      <c r="AL570" s="65"/>
      <c r="AM570" s="65"/>
      <c r="AN570" s="65"/>
      <c r="AO570" s="65"/>
      <c r="AP570" s="65"/>
      <c r="AQ570" s="65"/>
      <c r="AR570" s="65"/>
      <c r="AS570" s="65"/>
      <c r="AT570" s="65"/>
    </row>
    <row r="571" spans="2:46" s="32" customFormat="1" x14ac:dyDescent="0.2">
      <c r="B571" s="44"/>
      <c r="C571" s="44"/>
      <c r="D571" s="35"/>
      <c r="E571" s="35"/>
      <c r="F571" s="35"/>
      <c r="G571" s="35"/>
      <c r="H571" s="35"/>
      <c r="I571" s="35"/>
      <c r="J571" s="35"/>
      <c r="K571" s="35"/>
      <c r="L571" s="35"/>
      <c r="M571" s="35"/>
      <c r="N571" s="35"/>
      <c r="O571" s="35"/>
      <c r="P571" s="35"/>
      <c r="Q571" s="35"/>
      <c r="R571" s="35"/>
      <c r="S571" s="35"/>
      <c r="T571" s="35"/>
      <c r="U571" s="35"/>
      <c r="AE571" s="65"/>
      <c r="AF571" s="65"/>
      <c r="AG571" s="65"/>
      <c r="AH571" s="65"/>
      <c r="AI571" s="65"/>
      <c r="AJ571" s="65"/>
      <c r="AK571" s="65"/>
      <c r="AL571" s="65"/>
      <c r="AM571" s="65"/>
      <c r="AN571" s="65"/>
      <c r="AO571" s="65"/>
      <c r="AP571" s="65"/>
      <c r="AQ571" s="65"/>
      <c r="AR571" s="65"/>
      <c r="AS571" s="65"/>
      <c r="AT571" s="65"/>
    </row>
    <row r="572" spans="2:46" s="32" customFormat="1" x14ac:dyDescent="0.2">
      <c r="B572" s="44"/>
      <c r="C572" s="44"/>
      <c r="D572" s="35"/>
      <c r="E572" s="35"/>
      <c r="F572" s="35"/>
      <c r="G572" s="35"/>
      <c r="H572" s="35"/>
      <c r="I572" s="35"/>
      <c r="J572" s="35"/>
      <c r="K572" s="35"/>
      <c r="L572" s="35"/>
      <c r="M572" s="35"/>
      <c r="N572" s="35"/>
      <c r="O572" s="35"/>
      <c r="P572" s="35"/>
      <c r="Q572" s="35"/>
      <c r="R572" s="35"/>
      <c r="S572" s="35"/>
      <c r="T572" s="35"/>
      <c r="U572" s="35"/>
      <c r="AE572" s="65"/>
      <c r="AF572" s="65"/>
      <c r="AG572" s="65"/>
      <c r="AH572" s="65"/>
      <c r="AI572" s="65"/>
      <c r="AJ572" s="65"/>
      <c r="AK572" s="65"/>
      <c r="AL572" s="65"/>
      <c r="AM572" s="65"/>
      <c r="AN572" s="65"/>
      <c r="AO572" s="65"/>
      <c r="AP572" s="65"/>
      <c r="AQ572" s="65"/>
      <c r="AR572" s="65"/>
      <c r="AS572" s="65"/>
      <c r="AT572" s="65"/>
    </row>
    <row r="573" spans="2:46" s="32" customFormat="1" x14ac:dyDescent="0.2">
      <c r="B573" s="44"/>
      <c r="C573" s="44"/>
      <c r="D573" s="35"/>
      <c r="E573" s="35"/>
      <c r="F573" s="35"/>
      <c r="G573" s="35"/>
      <c r="H573" s="35"/>
      <c r="I573" s="35"/>
      <c r="J573" s="35"/>
      <c r="K573" s="35"/>
      <c r="L573" s="35"/>
      <c r="M573" s="35"/>
      <c r="N573" s="35"/>
      <c r="O573" s="35"/>
      <c r="P573" s="35"/>
      <c r="Q573" s="35"/>
      <c r="R573" s="35"/>
      <c r="S573" s="35"/>
      <c r="T573" s="35"/>
      <c r="U573" s="35"/>
      <c r="AE573" s="65"/>
      <c r="AF573" s="65"/>
      <c r="AG573" s="65"/>
      <c r="AH573" s="65"/>
      <c r="AI573" s="65"/>
      <c r="AJ573" s="65"/>
      <c r="AK573" s="65"/>
      <c r="AL573" s="65"/>
      <c r="AM573" s="65"/>
      <c r="AN573" s="65"/>
      <c r="AO573" s="65"/>
      <c r="AP573" s="65"/>
      <c r="AQ573" s="65"/>
      <c r="AR573" s="65"/>
      <c r="AS573" s="65"/>
      <c r="AT573" s="65"/>
    </row>
    <row r="574" spans="2:46" s="32" customFormat="1" x14ac:dyDescent="0.2">
      <c r="B574" s="44"/>
      <c r="C574" s="44"/>
      <c r="D574" s="35"/>
      <c r="E574" s="35"/>
      <c r="F574" s="35"/>
      <c r="G574" s="35"/>
      <c r="H574" s="35"/>
      <c r="I574" s="35"/>
      <c r="J574" s="35"/>
      <c r="K574" s="35"/>
      <c r="L574" s="35"/>
      <c r="M574" s="35"/>
      <c r="N574" s="35"/>
      <c r="O574" s="35"/>
      <c r="P574" s="35"/>
      <c r="Q574" s="35"/>
      <c r="R574" s="35"/>
      <c r="S574" s="35"/>
      <c r="T574" s="35"/>
      <c r="U574" s="35"/>
      <c r="AE574" s="65"/>
      <c r="AF574" s="65"/>
      <c r="AG574" s="65"/>
      <c r="AH574" s="65"/>
      <c r="AI574" s="65"/>
      <c r="AJ574" s="65"/>
      <c r="AK574" s="65"/>
      <c r="AL574" s="65"/>
      <c r="AM574" s="65"/>
      <c r="AN574" s="65"/>
      <c r="AO574" s="65"/>
      <c r="AP574" s="65"/>
      <c r="AQ574" s="65"/>
      <c r="AR574" s="65"/>
      <c r="AS574" s="65"/>
      <c r="AT574" s="65"/>
    </row>
    <row r="575" spans="2:46" s="32" customFormat="1" x14ac:dyDescent="0.2">
      <c r="B575" s="44"/>
      <c r="C575" s="44"/>
      <c r="D575" s="35"/>
      <c r="E575" s="35"/>
      <c r="F575" s="35"/>
      <c r="G575" s="35"/>
      <c r="H575" s="35"/>
      <c r="I575" s="35"/>
      <c r="J575" s="35"/>
      <c r="K575" s="35"/>
      <c r="L575" s="35"/>
      <c r="M575" s="35"/>
      <c r="N575" s="35"/>
      <c r="O575" s="35"/>
      <c r="P575" s="35"/>
      <c r="Q575" s="35"/>
      <c r="R575" s="35"/>
      <c r="S575" s="35"/>
      <c r="T575" s="35"/>
      <c r="U575" s="35"/>
      <c r="AE575" s="65"/>
      <c r="AF575" s="65"/>
      <c r="AG575" s="65"/>
      <c r="AH575" s="65"/>
      <c r="AI575" s="65"/>
      <c r="AJ575" s="65"/>
      <c r="AK575" s="65"/>
      <c r="AL575" s="65"/>
      <c r="AM575" s="65"/>
      <c r="AN575" s="65"/>
      <c r="AO575" s="65"/>
      <c r="AP575" s="65"/>
      <c r="AQ575" s="65"/>
      <c r="AR575" s="65"/>
      <c r="AS575" s="65"/>
      <c r="AT575" s="65"/>
    </row>
    <row r="576" spans="2:46" s="32" customFormat="1" x14ac:dyDescent="0.2">
      <c r="B576" s="44"/>
      <c r="C576" s="44"/>
      <c r="D576" s="35"/>
      <c r="E576" s="35"/>
      <c r="F576" s="35"/>
      <c r="G576" s="35"/>
      <c r="H576" s="35"/>
      <c r="I576" s="35"/>
      <c r="J576" s="35"/>
      <c r="K576" s="35"/>
      <c r="L576" s="35"/>
      <c r="M576" s="35"/>
      <c r="N576" s="35"/>
      <c r="O576" s="35"/>
      <c r="P576" s="35"/>
      <c r="Q576" s="35"/>
      <c r="R576" s="35"/>
      <c r="S576" s="35"/>
      <c r="T576" s="35"/>
      <c r="U576" s="35"/>
      <c r="AE576" s="65"/>
      <c r="AF576" s="65"/>
      <c r="AG576" s="65"/>
      <c r="AH576" s="65"/>
      <c r="AI576" s="65"/>
      <c r="AJ576" s="65"/>
      <c r="AK576" s="65"/>
      <c r="AL576" s="65"/>
      <c r="AM576" s="65"/>
      <c r="AN576" s="65"/>
      <c r="AO576" s="65"/>
      <c r="AP576" s="65"/>
      <c r="AQ576" s="65"/>
      <c r="AR576" s="65"/>
      <c r="AS576" s="65"/>
      <c r="AT576" s="65"/>
    </row>
    <row r="577" spans="2:46" s="32" customFormat="1" x14ac:dyDescent="0.2">
      <c r="B577" s="44"/>
      <c r="C577" s="44"/>
      <c r="D577" s="35"/>
      <c r="E577" s="35"/>
      <c r="F577" s="35"/>
      <c r="G577" s="35"/>
      <c r="H577" s="35"/>
      <c r="I577" s="35"/>
      <c r="J577" s="35"/>
      <c r="K577" s="35"/>
      <c r="L577" s="35"/>
      <c r="M577" s="35"/>
      <c r="N577" s="35"/>
      <c r="O577" s="35"/>
      <c r="P577" s="35"/>
      <c r="Q577" s="35"/>
      <c r="R577" s="35"/>
      <c r="S577" s="35"/>
      <c r="T577" s="35"/>
      <c r="U577" s="35"/>
      <c r="AE577" s="65"/>
      <c r="AF577" s="65"/>
      <c r="AG577" s="65"/>
      <c r="AH577" s="65"/>
      <c r="AI577" s="65"/>
      <c r="AJ577" s="65"/>
      <c r="AK577" s="65"/>
      <c r="AL577" s="65"/>
      <c r="AM577" s="65"/>
      <c r="AN577" s="65"/>
      <c r="AO577" s="65"/>
      <c r="AP577" s="65"/>
      <c r="AQ577" s="65"/>
      <c r="AR577" s="65"/>
      <c r="AS577" s="65"/>
      <c r="AT577" s="65"/>
    </row>
    <row r="578" spans="2:46" s="32" customFormat="1" x14ac:dyDescent="0.2">
      <c r="B578" s="44"/>
      <c r="C578" s="44"/>
      <c r="D578" s="35"/>
      <c r="E578" s="35"/>
      <c r="F578" s="35"/>
      <c r="G578" s="35"/>
      <c r="H578" s="35"/>
      <c r="I578" s="35"/>
      <c r="J578" s="35"/>
      <c r="K578" s="35"/>
      <c r="L578" s="35"/>
      <c r="M578" s="35"/>
      <c r="N578" s="35"/>
      <c r="O578" s="35"/>
      <c r="P578" s="35"/>
      <c r="Q578" s="35"/>
      <c r="R578" s="35"/>
      <c r="S578" s="35"/>
      <c r="T578" s="35"/>
      <c r="U578" s="35"/>
      <c r="AE578" s="65"/>
      <c r="AF578" s="65"/>
      <c r="AG578" s="65"/>
      <c r="AH578" s="65"/>
      <c r="AI578" s="65"/>
      <c r="AJ578" s="65"/>
      <c r="AK578" s="65"/>
      <c r="AL578" s="65"/>
      <c r="AM578" s="65"/>
      <c r="AN578" s="65"/>
      <c r="AO578" s="65"/>
      <c r="AP578" s="65"/>
      <c r="AQ578" s="65"/>
      <c r="AR578" s="65"/>
      <c r="AS578" s="65"/>
      <c r="AT578" s="65"/>
    </row>
    <row r="579" spans="2:46" s="32" customFormat="1" x14ac:dyDescent="0.2">
      <c r="B579" s="44"/>
      <c r="C579" s="44"/>
      <c r="D579" s="35"/>
      <c r="E579" s="35"/>
      <c r="F579" s="35"/>
      <c r="G579" s="35"/>
      <c r="H579" s="35"/>
      <c r="I579" s="35"/>
      <c r="J579" s="35"/>
      <c r="K579" s="35"/>
      <c r="L579" s="35"/>
      <c r="M579" s="35"/>
      <c r="N579" s="35"/>
      <c r="O579" s="35"/>
      <c r="P579" s="35"/>
      <c r="Q579" s="35"/>
      <c r="R579" s="35"/>
      <c r="S579" s="35"/>
      <c r="T579" s="35"/>
      <c r="U579" s="35"/>
      <c r="AE579" s="65"/>
      <c r="AF579" s="65"/>
      <c r="AG579" s="65"/>
      <c r="AH579" s="65"/>
      <c r="AI579" s="65"/>
      <c r="AJ579" s="65"/>
      <c r="AK579" s="65"/>
      <c r="AL579" s="65"/>
      <c r="AM579" s="65"/>
      <c r="AN579" s="65"/>
      <c r="AO579" s="65"/>
      <c r="AP579" s="65"/>
      <c r="AQ579" s="65"/>
      <c r="AR579" s="65"/>
      <c r="AS579" s="65"/>
      <c r="AT579" s="65"/>
    </row>
    <row r="580" spans="2:46" s="32" customFormat="1" x14ac:dyDescent="0.2">
      <c r="B580" s="44"/>
      <c r="C580" s="44"/>
      <c r="D580" s="35"/>
      <c r="E580" s="35"/>
      <c r="F580" s="35"/>
      <c r="G580" s="35"/>
      <c r="H580" s="35"/>
      <c r="I580" s="35"/>
      <c r="J580" s="35"/>
      <c r="K580" s="35"/>
      <c r="L580" s="35"/>
      <c r="M580" s="35"/>
      <c r="N580" s="35"/>
      <c r="O580" s="35"/>
      <c r="P580" s="35"/>
      <c r="Q580" s="35"/>
      <c r="R580" s="35"/>
      <c r="S580" s="35"/>
      <c r="T580" s="35"/>
      <c r="U580" s="35"/>
      <c r="AE580" s="65"/>
      <c r="AF580" s="65"/>
      <c r="AG580" s="65"/>
      <c r="AH580" s="65"/>
      <c r="AI580" s="65"/>
      <c r="AJ580" s="65"/>
      <c r="AK580" s="65"/>
      <c r="AL580" s="65"/>
      <c r="AM580" s="65"/>
      <c r="AN580" s="65"/>
      <c r="AO580" s="65"/>
      <c r="AP580" s="65"/>
      <c r="AQ580" s="65"/>
      <c r="AR580" s="65"/>
      <c r="AS580" s="65"/>
      <c r="AT580" s="65"/>
    </row>
    <row r="581" spans="2:46" s="32" customFormat="1" x14ac:dyDescent="0.2">
      <c r="B581" s="44"/>
      <c r="C581" s="44"/>
      <c r="D581" s="35"/>
      <c r="E581" s="35"/>
      <c r="F581" s="35"/>
      <c r="G581" s="35"/>
      <c r="H581" s="35"/>
      <c r="I581" s="35"/>
      <c r="J581" s="35"/>
      <c r="K581" s="35"/>
      <c r="L581" s="35"/>
      <c r="M581" s="35"/>
      <c r="N581" s="35"/>
      <c r="O581" s="35"/>
      <c r="P581" s="35"/>
      <c r="Q581" s="35"/>
      <c r="R581" s="35"/>
      <c r="S581" s="35"/>
      <c r="T581" s="35"/>
      <c r="U581" s="35"/>
      <c r="AE581" s="65"/>
      <c r="AF581" s="65"/>
      <c r="AG581" s="65"/>
      <c r="AH581" s="65"/>
      <c r="AI581" s="65"/>
      <c r="AJ581" s="65"/>
      <c r="AK581" s="65"/>
      <c r="AL581" s="65"/>
      <c r="AM581" s="65"/>
      <c r="AN581" s="65"/>
      <c r="AO581" s="65"/>
      <c r="AP581" s="65"/>
      <c r="AQ581" s="65"/>
      <c r="AR581" s="65"/>
      <c r="AS581" s="65"/>
      <c r="AT581" s="65"/>
    </row>
    <row r="582" spans="2:46" s="32" customFormat="1" x14ac:dyDescent="0.2">
      <c r="B582" s="44"/>
      <c r="C582" s="44"/>
      <c r="D582" s="35"/>
      <c r="E582" s="35"/>
      <c r="F582" s="35"/>
      <c r="G582" s="35"/>
      <c r="H582" s="35"/>
      <c r="I582" s="35"/>
      <c r="J582" s="35"/>
      <c r="K582" s="35"/>
      <c r="L582" s="35"/>
      <c r="M582" s="35"/>
      <c r="N582" s="35"/>
      <c r="O582" s="35"/>
      <c r="P582" s="35"/>
      <c r="Q582" s="35"/>
      <c r="R582" s="35"/>
      <c r="S582" s="35"/>
      <c r="T582" s="35"/>
      <c r="U582" s="35"/>
      <c r="AE582" s="65"/>
      <c r="AF582" s="65"/>
      <c r="AG582" s="65"/>
      <c r="AH582" s="65"/>
      <c r="AI582" s="65"/>
      <c r="AJ582" s="65"/>
      <c r="AK582" s="65"/>
      <c r="AL582" s="65"/>
      <c r="AM582" s="65"/>
      <c r="AN582" s="65"/>
      <c r="AO582" s="65"/>
      <c r="AP582" s="65"/>
      <c r="AQ582" s="65"/>
      <c r="AR582" s="65"/>
      <c r="AS582" s="65"/>
      <c r="AT582" s="65"/>
    </row>
    <row r="583" spans="2:46" s="32" customFormat="1" x14ac:dyDescent="0.2">
      <c r="B583" s="44"/>
      <c r="C583" s="44"/>
      <c r="D583" s="35"/>
      <c r="E583" s="35"/>
      <c r="F583" s="35"/>
      <c r="G583" s="35"/>
      <c r="H583" s="35"/>
      <c r="I583" s="35"/>
      <c r="J583" s="35"/>
      <c r="K583" s="35"/>
      <c r="L583" s="35"/>
      <c r="M583" s="35"/>
      <c r="N583" s="35"/>
      <c r="O583" s="35"/>
      <c r="P583" s="35"/>
      <c r="Q583" s="35"/>
      <c r="R583" s="35"/>
      <c r="S583" s="35"/>
      <c r="T583" s="35"/>
      <c r="U583" s="35"/>
      <c r="AE583" s="65"/>
      <c r="AF583" s="65"/>
      <c r="AG583" s="65"/>
      <c r="AH583" s="65"/>
      <c r="AI583" s="65"/>
      <c r="AJ583" s="65"/>
      <c r="AK583" s="65"/>
      <c r="AL583" s="65"/>
      <c r="AM583" s="65"/>
      <c r="AN583" s="65"/>
      <c r="AO583" s="65"/>
      <c r="AP583" s="65"/>
      <c r="AQ583" s="65"/>
      <c r="AR583" s="65"/>
      <c r="AS583" s="65"/>
      <c r="AT583" s="65"/>
    </row>
    <row r="584" spans="2:46" s="32" customFormat="1" x14ac:dyDescent="0.2">
      <c r="B584" s="44"/>
      <c r="C584" s="44"/>
      <c r="D584" s="35"/>
      <c r="E584" s="35"/>
      <c r="F584" s="35"/>
      <c r="G584" s="35"/>
      <c r="H584" s="35"/>
      <c r="I584" s="35"/>
      <c r="J584" s="35"/>
      <c r="K584" s="35"/>
      <c r="L584" s="35"/>
      <c r="M584" s="35"/>
      <c r="N584" s="35"/>
      <c r="O584" s="35"/>
      <c r="P584" s="35"/>
      <c r="Q584" s="35"/>
      <c r="R584" s="35"/>
      <c r="S584" s="35"/>
      <c r="T584" s="35"/>
      <c r="U584" s="35"/>
      <c r="AE584" s="65"/>
      <c r="AF584" s="65"/>
      <c r="AG584" s="65"/>
      <c r="AH584" s="65"/>
      <c r="AI584" s="65"/>
      <c r="AJ584" s="65"/>
      <c r="AK584" s="65"/>
      <c r="AL584" s="65"/>
      <c r="AM584" s="65"/>
      <c r="AN584" s="65"/>
      <c r="AO584" s="65"/>
      <c r="AP584" s="65"/>
      <c r="AQ584" s="65"/>
      <c r="AR584" s="65"/>
      <c r="AS584" s="65"/>
      <c r="AT584" s="65"/>
    </row>
    <row r="585" spans="2:46" s="32" customFormat="1" x14ac:dyDescent="0.2">
      <c r="B585" s="44"/>
      <c r="C585" s="44"/>
      <c r="D585" s="35"/>
      <c r="E585" s="35"/>
      <c r="F585" s="35"/>
      <c r="G585" s="35"/>
      <c r="H585" s="35"/>
      <c r="I585" s="35"/>
      <c r="J585" s="35"/>
      <c r="K585" s="35"/>
      <c r="L585" s="35"/>
      <c r="M585" s="35"/>
      <c r="N585" s="35"/>
      <c r="O585" s="35"/>
      <c r="P585" s="35"/>
      <c r="Q585" s="35"/>
      <c r="R585" s="35"/>
      <c r="S585" s="35"/>
      <c r="T585" s="35"/>
      <c r="U585" s="35"/>
      <c r="AE585" s="65"/>
      <c r="AF585" s="65"/>
      <c r="AG585" s="65"/>
      <c r="AH585" s="65"/>
      <c r="AI585" s="65"/>
      <c r="AJ585" s="65"/>
      <c r="AK585" s="65"/>
      <c r="AL585" s="65"/>
      <c r="AM585" s="65"/>
      <c r="AN585" s="65"/>
      <c r="AO585" s="65"/>
      <c r="AP585" s="65"/>
      <c r="AQ585" s="65"/>
      <c r="AR585" s="65"/>
      <c r="AS585" s="65"/>
      <c r="AT585" s="65"/>
    </row>
    <row r="586" spans="2:46" s="32" customFormat="1" x14ac:dyDescent="0.2">
      <c r="B586" s="44"/>
      <c r="C586" s="44"/>
      <c r="D586" s="35"/>
      <c r="E586" s="35"/>
      <c r="F586" s="35"/>
      <c r="G586" s="35"/>
      <c r="H586" s="35"/>
      <c r="I586" s="35"/>
      <c r="J586" s="35"/>
      <c r="K586" s="35"/>
      <c r="L586" s="35"/>
      <c r="M586" s="35"/>
      <c r="N586" s="35"/>
      <c r="O586" s="35"/>
      <c r="P586" s="35"/>
      <c r="Q586" s="35"/>
      <c r="R586" s="35"/>
      <c r="S586" s="35"/>
      <c r="T586" s="35"/>
      <c r="U586" s="35"/>
      <c r="AE586" s="65"/>
      <c r="AF586" s="65"/>
      <c r="AG586" s="65"/>
      <c r="AH586" s="65"/>
      <c r="AI586" s="65"/>
      <c r="AJ586" s="65"/>
      <c r="AK586" s="65"/>
      <c r="AL586" s="65"/>
      <c r="AM586" s="65"/>
      <c r="AN586" s="65"/>
      <c r="AO586" s="65"/>
      <c r="AP586" s="65"/>
      <c r="AQ586" s="65"/>
      <c r="AR586" s="65"/>
      <c r="AS586" s="65"/>
      <c r="AT586" s="65"/>
    </row>
    <row r="587" spans="2:46" s="32" customFormat="1" x14ac:dyDescent="0.2">
      <c r="B587" s="44"/>
      <c r="C587" s="44"/>
      <c r="D587" s="35"/>
      <c r="E587" s="35"/>
      <c r="F587" s="35"/>
      <c r="G587" s="35"/>
      <c r="H587" s="35"/>
      <c r="I587" s="35"/>
      <c r="J587" s="35"/>
      <c r="K587" s="35"/>
      <c r="L587" s="35"/>
      <c r="M587" s="35"/>
      <c r="N587" s="35"/>
      <c r="O587" s="35"/>
      <c r="P587" s="35"/>
      <c r="Q587" s="35"/>
      <c r="R587" s="35"/>
      <c r="S587" s="35"/>
      <c r="T587" s="35"/>
      <c r="U587" s="35"/>
      <c r="AE587" s="65"/>
      <c r="AF587" s="65"/>
      <c r="AG587" s="65"/>
      <c r="AH587" s="65"/>
      <c r="AI587" s="65"/>
      <c r="AJ587" s="65"/>
      <c r="AK587" s="65"/>
      <c r="AL587" s="65"/>
      <c r="AM587" s="65"/>
      <c r="AN587" s="65"/>
      <c r="AO587" s="65"/>
      <c r="AP587" s="65"/>
      <c r="AQ587" s="65"/>
      <c r="AR587" s="65"/>
      <c r="AS587" s="65"/>
      <c r="AT587" s="65"/>
    </row>
    <row r="588" spans="2:46" s="32" customFormat="1" x14ac:dyDescent="0.2">
      <c r="B588" s="44"/>
      <c r="C588" s="44"/>
      <c r="D588" s="35"/>
      <c r="E588" s="35"/>
      <c r="F588" s="35"/>
      <c r="G588" s="35"/>
      <c r="H588" s="35"/>
      <c r="I588" s="35"/>
      <c r="J588" s="35"/>
      <c r="K588" s="35"/>
      <c r="L588" s="35"/>
      <c r="M588" s="35"/>
      <c r="N588" s="35"/>
      <c r="O588" s="35"/>
      <c r="P588" s="35"/>
      <c r="Q588" s="35"/>
      <c r="R588" s="35"/>
      <c r="S588" s="35"/>
      <c r="T588" s="35"/>
      <c r="U588" s="35"/>
      <c r="AE588" s="65"/>
      <c r="AF588" s="65"/>
      <c r="AG588" s="65"/>
      <c r="AH588" s="65"/>
      <c r="AI588" s="65"/>
      <c r="AJ588" s="65"/>
      <c r="AK588" s="65"/>
      <c r="AL588" s="65"/>
      <c r="AM588" s="65"/>
      <c r="AN588" s="65"/>
      <c r="AO588" s="65"/>
      <c r="AP588" s="65"/>
      <c r="AQ588" s="65"/>
      <c r="AR588" s="65"/>
      <c r="AS588" s="65"/>
      <c r="AT588" s="65"/>
    </row>
    <row r="589" spans="2:46" s="32" customFormat="1" x14ac:dyDescent="0.2">
      <c r="B589" s="44"/>
      <c r="C589" s="44"/>
      <c r="D589" s="35"/>
      <c r="E589" s="35"/>
      <c r="F589" s="35"/>
      <c r="G589" s="35"/>
      <c r="H589" s="35"/>
      <c r="I589" s="35"/>
      <c r="J589" s="35"/>
      <c r="K589" s="35"/>
      <c r="L589" s="35"/>
      <c r="M589" s="35"/>
      <c r="N589" s="35"/>
      <c r="O589" s="35"/>
      <c r="P589" s="35"/>
      <c r="Q589" s="35"/>
      <c r="R589" s="35"/>
      <c r="S589" s="35"/>
      <c r="T589" s="35"/>
      <c r="U589" s="35"/>
      <c r="AE589" s="65"/>
      <c r="AF589" s="65"/>
      <c r="AG589" s="65"/>
      <c r="AH589" s="65"/>
      <c r="AI589" s="65"/>
      <c r="AJ589" s="65"/>
      <c r="AK589" s="65"/>
      <c r="AL589" s="65"/>
      <c r="AM589" s="65"/>
      <c r="AN589" s="65"/>
      <c r="AO589" s="65"/>
      <c r="AP589" s="65"/>
      <c r="AQ589" s="65"/>
      <c r="AR589" s="65"/>
      <c r="AS589" s="65"/>
      <c r="AT589" s="65"/>
    </row>
    <row r="590" spans="2:46" s="32" customFormat="1" x14ac:dyDescent="0.2">
      <c r="B590" s="44"/>
      <c r="C590" s="44"/>
      <c r="D590" s="35"/>
      <c r="E590" s="35"/>
      <c r="F590" s="35"/>
      <c r="G590" s="35"/>
      <c r="H590" s="35"/>
      <c r="I590" s="35"/>
      <c r="J590" s="35"/>
      <c r="K590" s="35"/>
      <c r="L590" s="35"/>
      <c r="M590" s="35"/>
      <c r="N590" s="35"/>
      <c r="O590" s="35"/>
      <c r="P590" s="35"/>
      <c r="Q590" s="35"/>
      <c r="R590" s="35"/>
      <c r="S590" s="35"/>
      <c r="T590" s="35"/>
      <c r="U590" s="35"/>
      <c r="AE590" s="65"/>
      <c r="AF590" s="65"/>
      <c r="AG590" s="65"/>
      <c r="AH590" s="65"/>
      <c r="AI590" s="65"/>
      <c r="AJ590" s="65"/>
      <c r="AK590" s="65"/>
      <c r="AL590" s="65"/>
      <c r="AM590" s="65"/>
      <c r="AN590" s="65"/>
      <c r="AO590" s="65"/>
      <c r="AP590" s="65"/>
      <c r="AQ590" s="65"/>
      <c r="AR590" s="65"/>
      <c r="AS590" s="65"/>
      <c r="AT590" s="65"/>
    </row>
    <row r="591" spans="2:46" s="32" customFormat="1" x14ac:dyDescent="0.2">
      <c r="B591" s="44"/>
      <c r="C591" s="44"/>
      <c r="D591" s="35"/>
      <c r="E591" s="35"/>
      <c r="F591" s="35"/>
      <c r="G591" s="35"/>
      <c r="H591" s="35"/>
      <c r="I591" s="35"/>
      <c r="J591" s="35"/>
      <c r="K591" s="35"/>
      <c r="L591" s="35"/>
      <c r="M591" s="35"/>
      <c r="N591" s="35"/>
      <c r="O591" s="35"/>
      <c r="P591" s="35"/>
      <c r="Q591" s="35"/>
      <c r="R591" s="35"/>
      <c r="S591" s="35"/>
      <c r="T591" s="35"/>
      <c r="U591" s="35"/>
      <c r="AE591" s="65"/>
      <c r="AF591" s="65"/>
      <c r="AG591" s="65"/>
      <c r="AH591" s="65"/>
      <c r="AI591" s="65"/>
      <c r="AJ591" s="65"/>
      <c r="AK591" s="65"/>
      <c r="AL591" s="65"/>
      <c r="AM591" s="65"/>
      <c r="AN591" s="65"/>
      <c r="AO591" s="65"/>
      <c r="AP591" s="65"/>
      <c r="AQ591" s="65"/>
      <c r="AR591" s="65"/>
      <c r="AS591" s="65"/>
      <c r="AT591" s="65"/>
    </row>
    <row r="592" spans="2:46" s="32" customFormat="1" x14ac:dyDescent="0.2">
      <c r="B592" s="44"/>
      <c r="C592" s="44"/>
      <c r="D592" s="35"/>
      <c r="E592" s="35"/>
      <c r="F592" s="35"/>
      <c r="G592" s="35"/>
      <c r="H592" s="35"/>
      <c r="I592" s="35"/>
      <c r="J592" s="35"/>
      <c r="K592" s="35"/>
      <c r="L592" s="35"/>
      <c r="M592" s="35"/>
      <c r="N592" s="35"/>
      <c r="O592" s="35"/>
      <c r="P592" s="35"/>
      <c r="Q592" s="35"/>
      <c r="R592" s="35"/>
      <c r="S592" s="35"/>
      <c r="T592" s="35"/>
      <c r="U592" s="35"/>
      <c r="AE592" s="65"/>
      <c r="AF592" s="65"/>
      <c r="AG592" s="65"/>
      <c r="AH592" s="65"/>
      <c r="AI592" s="65"/>
      <c r="AJ592" s="65"/>
      <c r="AK592" s="65"/>
      <c r="AL592" s="65"/>
      <c r="AM592" s="65"/>
      <c r="AN592" s="65"/>
      <c r="AO592" s="65"/>
      <c r="AP592" s="65"/>
      <c r="AQ592" s="65"/>
      <c r="AR592" s="65"/>
      <c r="AS592" s="65"/>
      <c r="AT592" s="65"/>
    </row>
    <row r="593" spans="2:46" s="32" customFormat="1" x14ac:dyDescent="0.2">
      <c r="B593" s="44"/>
      <c r="C593" s="44"/>
      <c r="D593" s="35"/>
      <c r="E593" s="35"/>
      <c r="F593" s="35"/>
      <c r="G593" s="35"/>
      <c r="H593" s="35"/>
      <c r="I593" s="35"/>
      <c r="J593" s="35"/>
      <c r="K593" s="35"/>
      <c r="L593" s="35"/>
      <c r="M593" s="35"/>
      <c r="N593" s="35"/>
      <c r="O593" s="35"/>
      <c r="P593" s="35"/>
      <c r="Q593" s="35"/>
      <c r="R593" s="35"/>
      <c r="S593" s="35"/>
      <c r="T593" s="35"/>
      <c r="U593" s="35"/>
      <c r="AE593" s="65"/>
      <c r="AF593" s="65"/>
      <c r="AG593" s="65"/>
      <c r="AH593" s="65"/>
      <c r="AI593" s="65"/>
      <c r="AJ593" s="65"/>
      <c r="AK593" s="65"/>
      <c r="AL593" s="65"/>
      <c r="AM593" s="65"/>
      <c r="AN593" s="65"/>
      <c r="AO593" s="65"/>
      <c r="AP593" s="65"/>
      <c r="AQ593" s="65"/>
      <c r="AR593" s="65"/>
      <c r="AS593" s="65"/>
      <c r="AT593" s="65"/>
    </row>
    <row r="594" spans="2:46" s="32" customFormat="1" x14ac:dyDescent="0.2">
      <c r="B594" s="44"/>
      <c r="C594" s="44"/>
      <c r="D594" s="35"/>
      <c r="E594" s="35"/>
      <c r="F594" s="35"/>
      <c r="G594" s="35"/>
      <c r="H594" s="35"/>
      <c r="I594" s="35"/>
      <c r="J594" s="35"/>
      <c r="K594" s="35"/>
      <c r="L594" s="35"/>
      <c r="M594" s="35"/>
      <c r="N594" s="35"/>
      <c r="O594" s="35"/>
      <c r="P594" s="35"/>
      <c r="Q594" s="35"/>
      <c r="R594" s="35"/>
      <c r="S594" s="35"/>
      <c r="T594" s="35"/>
      <c r="U594" s="35"/>
      <c r="AE594" s="65"/>
      <c r="AF594" s="65"/>
      <c r="AG594" s="65"/>
      <c r="AH594" s="65"/>
      <c r="AI594" s="65"/>
      <c r="AJ594" s="65"/>
      <c r="AK594" s="65"/>
      <c r="AL594" s="65"/>
      <c r="AM594" s="65"/>
      <c r="AN594" s="65"/>
      <c r="AO594" s="65"/>
      <c r="AP594" s="65"/>
      <c r="AQ594" s="65"/>
      <c r="AR594" s="65"/>
      <c r="AS594" s="65"/>
      <c r="AT594" s="65"/>
    </row>
    <row r="595" spans="2:46" s="32" customFormat="1" x14ac:dyDescent="0.2">
      <c r="B595" s="44"/>
      <c r="C595" s="44"/>
      <c r="D595" s="35"/>
      <c r="E595" s="35"/>
      <c r="F595" s="35"/>
      <c r="G595" s="35"/>
      <c r="H595" s="35"/>
      <c r="I595" s="35"/>
      <c r="J595" s="35"/>
      <c r="K595" s="35"/>
      <c r="L595" s="35"/>
      <c r="M595" s="35"/>
      <c r="N595" s="35"/>
      <c r="O595" s="35"/>
      <c r="P595" s="35"/>
      <c r="Q595" s="35"/>
      <c r="R595" s="35"/>
      <c r="S595" s="35"/>
      <c r="T595" s="35"/>
      <c r="U595" s="35"/>
      <c r="AE595" s="65"/>
      <c r="AF595" s="65"/>
      <c r="AG595" s="65"/>
      <c r="AH595" s="65"/>
      <c r="AI595" s="65"/>
      <c r="AJ595" s="65"/>
      <c r="AK595" s="65"/>
      <c r="AL595" s="65"/>
      <c r="AM595" s="65"/>
      <c r="AN595" s="65"/>
      <c r="AO595" s="65"/>
      <c r="AP595" s="65"/>
      <c r="AQ595" s="65"/>
      <c r="AR595" s="65"/>
      <c r="AS595" s="65"/>
      <c r="AT595" s="65"/>
    </row>
    <row r="596" spans="2:46" s="32" customFormat="1" x14ac:dyDescent="0.2">
      <c r="B596" s="44"/>
      <c r="C596" s="44"/>
      <c r="D596" s="35"/>
      <c r="E596" s="35"/>
      <c r="F596" s="35"/>
      <c r="G596" s="35"/>
      <c r="H596" s="35"/>
      <c r="I596" s="35"/>
      <c r="J596" s="35"/>
      <c r="K596" s="35"/>
      <c r="L596" s="35"/>
      <c r="M596" s="35"/>
      <c r="N596" s="35"/>
      <c r="O596" s="35"/>
      <c r="P596" s="35"/>
      <c r="Q596" s="35"/>
      <c r="R596" s="35"/>
      <c r="S596" s="35"/>
      <c r="T596" s="35"/>
      <c r="U596" s="35"/>
      <c r="AE596" s="65"/>
      <c r="AF596" s="65"/>
      <c r="AG596" s="65"/>
      <c r="AH596" s="65"/>
      <c r="AI596" s="65"/>
      <c r="AJ596" s="65"/>
      <c r="AK596" s="65"/>
      <c r="AL596" s="65"/>
      <c r="AM596" s="65"/>
      <c r="AN596" s="65"/>
      <c r="AO596" s="65"/>
      <c r="AP596" s="65"/>
      <c r="AQ596" s="65"/>
      <c r="AR596" s="65"/>
      <c r="AS596" s="65"/>
      <c r="AT596" s="65"/>
    </row>
    <row r="597" spans="2:46" s="32" customFormat="1" x14ac:dyDescent="0.2">
      <c r="B597" s="44"/>
      <c r="C597" s="44"/>
      <c r="D597" s="35"/>
      <c r="E597" s="35"/>
      <c r="F597" s="35"/>
      <c r="G597" s="35"/>
      <c r="H597" s="35"/>
      <c r="I597" s="35"/>
      <c r="J597" s="35"/>
      <c r="K597" s="35"/>
      <c r="L597" s="35"/>
      <c r="M597" s="35"/>
      <c r="N597" s="35"/>
      <c r="O597" s="35"/>
      <c r="P597" s="35"/>
      <c r="Q597" s="35"/>
      <c r="R597" s="35"/>
      <c r="S597" s="35"/>
      <c r="T597" s="35"/>
      <c r="U597" s="35"/>
      <c r="AE597" s="65"/>
      <c r="AF597" s="65"/>
      <c r="AG597" s="65"/>
      <c r="AH597" s="65"/>
      <c r="AI597" s="65"/>
      <c r="AJ597" s="65"/>
      <c r="AK597" s="65"/>
      <c r="AL597" s="65"/>
      <c r="AM597" s="65"/>
      <c r="AN597" s="65"/>
      <c r="AO597" s="65"/>
      <c r="AP597" s="65"/>
      <c r="AQ597" s="65"/>
      <c r="AR597" s="65"/>
      <c r="AS597" s="65"/>
      <c r="AT597" s="65"/>
    </row>
    <row r="598" spans="2:46" s="32" customFormat="1" x14ac:dyDescent="0.2">
      <c r="B598" s="44"/>
      <c r="C598" s="44"/>
      <c r="D598" s="35"/>
      <c r="E598" s="35"/>
      <c r="F598" s="35"/>
      <c r="G598" s="35"/>
      <c r="H598" s="35"/>
      <c r="I598" s="35"/>
      <c r="J598" s="35"/>
      <c r="K598" s="35"/>
      <c r="L598" s="35"/>
      <c r="M598" s="35"/>
      <c r="N598" s="35"/>
      <c r="O598" s="35"/>
      <c r="P598" s="35"/>
      <c r="Q598" s="35"/>
      <c r="R598" s="35"/>
      <c r="S598" s="35"/>
      <c r="T598" s="35"/>
      <c r="U598" s="35"/>
      <c r="AE598" s="65"/>
      <c r="AF598" s="65"/>
      <c r="AG598" s="65"/>
      <c r="AH598" s="65"/>
      <c r="AI598" s="65"/>
      <c r="AJ598" s="65"/>
      <c r="AK598" s="65"/>
      <c r="AL598" s="65"/>
      <c r="AM598" s="65"/>
      <c r="AN598" s="65"/>
      <c r="AO598" s="65"/>
      <c r="AP598" s="65"/>
      <c r="AQ598" s="65"/>
      <c r="AR598" s="65"/>
      <c r="AS598" s="65"/>
      <c r="AT598" s="65"/>
    </row>
    <row r="599" spans="2:46" s="32" customFormat="1" x14ac:dyDescent="0.2">
      <c r="B599" s="44"/>
      <c r="C599" s="44"/>
      <c r="D599" s="35"/>
      <c r="E599" s="35"/>
      <c r="F599" s="35"/>
      <c r="G599" s="35"/>
      <c r="H599" s="35"/>
      <c r="I599" s="35"/>
      <c r="J599" s="35"/>
      <c r="K599" s="35"/>
      <c r="L599" s="35"/>
      <c r="M599" s="35"/>
      <c r="N599" s="35"/>
      <c r="O599" s="35"/>
      <c r="P599" s="35"/>
      <c r="Q599" s="35"/>
      <c r="R599" s="35"/>
      <c r="S599" s="35"/>
      <c r="T599" s="35"/>
      <c r="U599" s="35"/>
      <c r="AE599" s="65"/>
      <c r="AF599" s="65"/>
      <c r="AG599" s="65"/>
      <c r="AH599" s="65"/>
      <c r="AI599" s="65"/>
      <c r="AJ599" s="65"/>
      <c r="AK599" s="65"/>
      <c r="AL599" s="65"/>
      <c r="AM599" s="65"/>
      <c r="AN599" s="65"/>
      <c r="AO599" s="65"/>
      <c r="AP599" s="65"/>
      <c r="AQ599" s="65"/>
      <c r="AR599" s="65"/>
      <c r="AS599" s="65"/>
      <c r="AT599" s="65"/>
    </row>
    <row r="600" spans="2:46" s="32" customFormat="1" x14ac:dyDescent="0.2">
      <c r="B600" s="44"/>
      <c r="C600" s="44"/>
      <c r="D600" s="35"/>
      <c r="E600" s="35"/>
      <c r="F600" s="35"/>
      <c r="G600" s="35"/>
      <c r="H600" s="35"/>
      <c r="I600" s="35"/>
      <c r="J600" s="35"/>
      <c r="K600" s="35"/>
      <c r="L600" s="35"/>
      <c r="M600" s="35"/>
      <c r="N600" s="35"/>
      <c r="O600" s="35"/>
      <c r="P600" s="35"/>
      <c r="Q600" s="35"/>
      <c r="R600" s="35"/>
      <c r="S600" s="35"/>
      <c r="T600" s="35"/>
      <c r="U600" s="35"/>
      <c r="AE600" s="65"/>
      <c r="AF600" s="65"/>
      <c r="AG600" s="65"/>
      <c r="AH600" s="65"/>
      <c r="AI600" s="65"/>
      <c r="AJ600" s="65"/>
      <c r="AK600" s="65"/>
      <c r="AL600" s="65"/>
      <c r="AM600" s="65"/>
      <c r="AN600" s="65"/>
      <c r="AO600" s="65"/>
      <c r="AP600" s="65"/>
      <c r="AQ600" s="65"/>
      <c r="AR600" s="65"/>
      <c r="AS600" s="65"/>
      <c r="AT600" s="65"/>
    </row>
    <row r="601" spans="2:46" s="32" customFormat="1" x14ac:dyDescent="0.2">
      <c r="B601" s="44"/>
      <c r="C601" s="44"/>
      <c r="D601" s="35"/>
      <c r="E601" s="35"/>
      <c r="F601" s="35"/>
      <c r="G601" s="35"/>
      <c r="H601" s="35"/>
      <c r="I601" s="35"/>
      <c r="J601" s="35"/>
      <c r="K601" s="35"/>
      <c r="L601" s="35"/>
      <c r="M601" s="35"/>
      <c r="N601" s="35"/>
      <c r="O601" s="35"/>
      <c r="P601" s="35"/>
      <c r="Q601" s="35"/>
      <c r="R601" s="35"/>
      <c r="S601" s="35"/>
      <c r="T601" s="35"/>
      <c r="U601" s="35"/>
      <c r="AE601" s="65"/>
      <c r="AF601" s="65"/>
      <c r="AG601" s="65"/>
      <c r="AH601" s="65"/>
      <c r="AI601" s="65"/>
      <c r="AJ601" s="65"/>
      <c r="AK601" s="65"/>
      <c r="AL601" s="65"/>
      <c r="AM601" s="65"/>
      <c r="AN601" s="65"/>
      <c r="AO601" s="65"/>
      <c r="AP601" s="65"/>
      <c r="AQ601" s="65"/>
      <c r="AR601" s="65"/>
      <c r="AS601" s="65"/>
      <c r="AT601" s="65"/>
    </row>
    <row r="602" spans="2:46" s="32" customFormat="1" x14ac:dyDescent="0.2">
      <c r="B602" s="44"/>
      <c r="C602" s="44"/>
      <c r="D602" s="35"/>
      <c r="E602" s="35"/>
      <c r="F602" s="35"/>
      <c r="G602" s="35"/>
      <c r="H602" s="35"/>
      <c r="I602" s="35"/>
      <c r="J602" s="35"/>
      <c r="K602" s="35"/>
      <c r="L602" s="35"/>
      <c r="M602" s="35"/>
      <c r="N602" s="35"/>
      <c r="O602" s="35"/>
      <c r="P602" s="35"/>
      <c r="Q602" s="35"/>
      <c r="R602" s="35"/>
      <c r="S602" s="35"/>
      <c r="T602" s="35"/>
      <c r="U602" s="35"/>
      <c r="AE602" s="65"/>
      <c r="AF602" s="65"/>
      <c r="AG602" s="65"/>
      <c r="AH602" s="65"/>
      <c r="AI602" s="65"/>
      <c r="AJ602" s="65"/>
      <c r="AK602" s="65"/>
      <c r="AL602" s="65"/>
      <c r="AM602" s="65"/>
      <c r="AN602" s="65"/>
      <c r="AO602" s="65"/>
      <c r="AP602" s="65"/>
      <c r="AQ602" s="65"/>
      <c r="AR602" s="65"/>
      <c r="AS602" s="65"/>
      <c r="AT602" s="65"/>
    </row>
    <row r="603" spans="2:46" s="32" customFormat="1" x14ac:dyDescent="0.2">
      <c r="B603" s="44"/>
      <c r="C603" s="44"/>
      <c r="D603" s="35"/>
      <c r="E603" s="35"/>
      <c r="F603" s="35"/>
      <c r="G603" s="35"/>
      <c r="H603" s="35"/>
      <c r="I603" s="35"/>
      <c r="J603" s="35"/>
      <c r="K603" s="35"/>
      <c r="L603" s="35"/>
      <c r="M603" s="35"/>
      <c r="N603" s="35"/>
      <c r="O603" s="35"/>
      <c r="P603" s="35"/>
      <c r="Q603" s="35"/>
      <c r="R603" s="35"/>
      <c r="S603" s="35"/>
      <c r="T603" s="35"/>
      <c r="U603" s="35"/>
      <c r="AE603" s="65"/>
      <c r="AF603" s="65"/>
      <c r="AG603" s="65"/>
      <c r="AH603" s="65"/>
      <c r="AI603" s="65"/>
      <c r="AJ603" s="65"/>
      <c r="AK603" s="65"/>
      <c r="AL603" s="65"/>
      <c r="AM603" s="65"/>
      <c r="AN603" s="65"/>
      <c r="AO603" s="65"/>
      <c r="AP603" s="65"/>
      <c r="AQ603" s="65"/>
      <c r="AR603" s="65"/>
      <c r="AS603" s="65"/>
      <c r="AT603" s="65"/>
    </row>
    <row r="604" spans="2:46" s="32" customFormat="1" x14ac:dyDescent="0.2">
      <c r="B604" s="44"/>
      <c r="C604" s="44"/>
      <c r="D604" s="35"/>
      <c r="E604" s="35"/>
      <c r="F604" s="35"/>
      <c r="G604" s="35"/>
      <c r="H604" s="35"/>
      <c r="I604" s="35"/>
      <c r="J604" s="35"/>
      <c r="K604" s="35"/>
      <c r="L604" s="35"/>
      <c r="M604" s="35"/>
      <c r="N604" s="35"/>
      <c r="O604" s="35"/>
      <c r="P604" s="35"/>
      <c r="Q604" s="35"/>
      <c r="R604" s="35"/>
      <c r="S604" s="35"/>
      <c r="T604" s="35"/>
      <c r="U604" s="35"/>
      <c r="AE604" s="65"/>
      <c r="AF604" s="65"/>
      <c r="AG604" s="65"/>
      <c r="AH604" s="65"/>
      <c r="AI604" s="65"/>
      <c r="AJ604" s="65"/>
      <c r="AK604" s="65"/>
      <c r="AL604" s="65"/>
      <c r="AM604" s="65"/>
      <c r="AN604" s="65"/>
      <c r="AO604" s="65"/>
      <c r="AP604" s="65"/>
      <c r="AQ604" s="65"/>
      <c r="AR604" s="65"/>
      <c r="AS604" s="65"/>
      <c r="AT604" s="65"/>
    </row>
    <row r="605" spans="2:46" s="32" customFormat="1" x14ac:dyDescent="0.2">
      <c r="B605" s="44"/>
      <c r="C605" s="44"/>
      <c r="D605" s="35"/>
      <c r="E605" s="35"/>
      <c r="F605" s="35"/>
      <c r="G605" s="35"/>
      <c r="H605" s="35"/>
      <c r="I605" s="35"/>
      <c r="J605" s="35"/>
      <c r="K605" s="35"/>
      <c r="L605" s="35"/>
      <c r="M605" s="35"/>
      <c r="N605" s="35"/>
      <c r="O605" s="35"/>
      <c r="P605" s="35"/>
      <c r="Q605" s="35"/>
      <c r="R605" s="35"/>
      <c r="S605" s="35"/>
      <c r="T605" s="35"/>
      <c r="U605" s="35"/>
      <c r="AE605" s="65"/>
      <c r="AF605" s="65"/>
      <c r="AG605" s="65"/>
      <c r="AH605" s="65"/>
      <c r="AI605" s="65"/>
      <c r="AJ605" s="65"/>
      <c r="AK605" s="65"/>
      <c r="AL605" s="65"/>
      <c r="AM605" s="65"/>
      <c r="AN605" s="65"/>
      <c r="AO605" s="65"/>
      <c r="AP605" s="65"/>
      <c r="AQ605" s="65"/>
      <c r="AR605" s="65"/>
      <c r="AS605" s="65"/>
      <c r="AT605" s="65"/>
    </row>
    <row r="606" spans="2:46" s="32" customFormat="1" x14ac:dyDescent="0.2">
      <c r="B606" s="44"/>
      <c r="C606" s="44"/>
      <c r="D606" s="35"/>
      <c r="E606" s="35"/>
      <c r="F606" s="35"/>
      <c r="G606" s="35"/>
      <c r="H606" s="35"/>
      <c r="I606" s="35"/>
      <c r="J606" s="35"/>
      <c r="K606" s="35"/>
      <c r="L606" s="35"/>
      <c r="M606" s="35"/>
      <c r="N606" s="35"/>
      <c r="O606" s="35"/>
      <c r="P606" s="35"/>
      <c r="Q606" s="35"/>
      <c r="R606" s="35"/>
      <c r="S606" s="35"/>
      <c r="T606" s="35"/>
      <c r="U606" s="35"/>
      <c r="AE606" s="65"/>
      <c r="AF606" s="65"/>
      <c r="AG606" s="65"/>
      <c r="AH606" s="65"/>
      <c r="AI606" s="65"/>
      <c r="AJ606" s="65"/>
      <c r="AK606" s="65"/>
      <c r="AL606" s="65"/>
      <c r="AM606" s="65"/>
      <c r="AN606" s="65"/>
      <c r="AO606" s="65"/>
      <c r="AP606" s="65"/>
      <c r="AQ606" s="65"/>
      <c r="AR606" s="65"/>
      <c r="AS606" s="65"/>
      <c r="AT606" s="65"/>
    </row>
    <row r="607" spans="2:46" s="32" customFormat="1" x14ac:dyDescent="0.2">
      <c r="B607" s="44"/>
      <c r="C607" s="44"/>
      <c r="D607" s="35"/>
      <c r="E607" s="35"/>
      <c r="F607" s="35"/>
      <c r="G607" s="35"/>
      <c r="H607" s="35"/>
      <c r="I607" s="35"/>
      <c r="J607" s="35"/>
      <c r="K607" s="35"/>
      <c r="L607" s="35"/>
      <c r="M607" s="35"/>
      <c r="N607" s="35"/>
      <c r="O607" s="35"/>
      <c r="P607" s="35"/>
      <c r="Q607" s="35"/>
      <c r="R607" s="35"/>
      <c r="S607" s="35"/>
      <c r="T607" s="35"/>
      <c r="U607" s="35"/>
      <c r="AE607" s="65"/>
      <c r="AF607" s="65"/>
      <c r="AG607" s="65"/>
      <c r="AH607" s="65"/>
      <c r="AI607" s="65"/>
      <c r="AJ607" s="65"/>
      <c r="AK607" s="65"/>
      <c r="AL607" s="65"/>
      <c r="AM607" s="65"/>
      <c r="AN607" s="65"/>
      <c r="AO607" s="65"/>
      <c r="AP607" s="65"/>
      <c r="AQ607" s="65"/>
      <c r="AR607" s="65"/>
      <c r="AS607" s="65"/>
      <c r="AT607" s="65"/>
    </row>
    <row r="608" spans="2:46" s="32" customFormat="1" x14ac:dyDescent="0.2">
      <c r="B608" s="44"/>
      <c r="C608" s="44"/>
      <c r="D608" s="35"/>
      <c r="E608" s="35"/>
      <c r="F608" s="35"/>
      <c r="G608" s="35"/>
      <c r="H608" s="35"/>
      <c r="I608" s="35"/>
      <c r="J608" s="35"/>
      <c r="K608" s="35"/>
      <c r="L608" s="35"/>
      <c r="M608" s="35"/>
      <c r="N608" s="35"/>
      <c r="O608" s="35"/>
      <c r="P608" s="35"/>
      <c r="Q608" s="35"/>
      <c r="R608" s="35"/>
      <c r="S608" s="35"/>
      <c r="T608" s="35"/>
      <c r="U608" s="35"/>
      <c r="AE608" s="65"/>
      <c r="AF608" s="65"/>
      <c r="AG608" s="65"/>
      <c r="AH608" s="65"/>
      <c r="AI608" s="65"/>
      <c r="AJ608" s="65"/>
      <c r="AK608" s="65"/>
      <c r="AL608" s="65"/>
      <c r="AM608" s="65"/>
      <c r="AN608" s="65"/>
      <c r="AO608" s="65"/>
      <c r="AP608" s="65"/>
      <c r="AQ608" s="65"/>
      <c r="AR608" s="65"/>
      <c r="AS608" s="65"/>
      <c r="AT608" s="65"/>
    </row>
    <row r="609" spans="2:46" s="32" customFormat="1" x14ac:dyDescent="0.2">
      <c r="B609" s="44"/>
      <c r="C609" s="44"/>
      <c r="D609" s="35"/>
      <c r="E609" s="35"/>
      <c r="F609" s="35"/>
      <c r="G609" s="35"/>
      <c r="H609" s="35"/>
      <c r="I609" s="35"/>
      <c r="J609" s="35"/>
      <c r="K609" s="35"/>
      <c r="L609" s="35"/>
      <c r="M609" s="35"/>
      <c r="N609" s="35"/>
      <c r="O609" s="35"/>
      <c r="P609" s="35"/>
      <c r="Q609" s="35"/>
      <c r="R609" s="35"/>
      <c r="S609" s="35"/>
      <c r="T609" s="35"/>
      <c r="U609" s="35"/>
      <c r="AE609" s="65"/>
      <c r="AF609" s="65"/>
      <c r="AG609" s="65"/>
      <c r="AH609" s="65"/>
      <c r="AI609" s="65"/>
      <c r="AJ609" s="65"/>
      <c r="AK609" s="65"/>
      <c r="AL609" s="65"/>
      <c r="AM609" s="65"/>
      <c r="AN609" s="65"/>
      <c r="AO609" s="65"/>
      <c r="AP609" s="65"/>
      <c r="AQ609" s="65"/>
      <c r="AR609" s="65"/>
      <c r="AS609" s="65"/>
      <c r="AT609" s="65"/>
    </row>
    <row r="610" spans="2:46" s="32" customFormat="1" x14ac:dyDescent="0.2">
      <c r="B610" s="44"/>
      <c r="C610" s="44"/>
      <c r="D610" s="35"/>
      <c r="E610" s="35"/>
      <c r="F610" s="35"/>
      <c r="G610" s="35"/>
      <c r="H610" s="35"/>
      <c r="I610" s="35"/>
      <c r="J610" s="35"/>
      <c r="K610" s="35"/>
      <c r="L610" s="35"/>
      <c r="M610" s="35"/>
      <c r="N610" s="35"/>
      <c r="O610" s="35"/>
      <c r="P610" s="35"/>
      <c r="Q610" s="35"/>
      <c r="R610" s="35"/>
      <c r="S610" s="35"/>
      <c r="T610" s="35"/>
      <c r="U610" s="35"/>
      <c r="AE610" s="65"/>
      <c r="AF610" s="65"/>
      <c r="AG610" s="65"/>
      <c r="AH610" s="65"/>
      <c r="AI610" s="65"/>
      <c r="AJ610" s="65"/>
      <c r="AK610" s="65"/>
      <c r="AL610" s="65"/>
      <c r="AM610" s="65"/>
      <c r="AN610" s="65"/>
      <c r="AO610" s="65"/>
      <c r="AP610" s="65"/>
      <c r="AQ610" s="65"/>
      <c r="AR610" s="65"/>
      <c r="AS610" s="65"/>
      <c r="AT610" s="65"/>
    </row>
    <row r="611" spans="2:46" s="32" customFormat="1" x14ac:dyDescent="0.2">
      <c r="B611" s="44"/>
      <c r="C611" s="44"/>
      <c r="D611" s="35"/>
      <c r="E611" s="35"/>
      <c r="F611" s="35"/>
      <c r="G611" s="35"/>
      <c r="H611" s="35"/>
      <c r="I611" s="35"/>
      <c r="J611" s="35"/>
      <c r="K611" s="35"/>
      <c r="L611" s="35"/>
      <c r="M611" s="35"/>
      <c r="N611" s="35"/>
      <c r="O611" s="35"/>
      <c r="P611" s="35"/>
      <c r="Q611" s="35"/>
      <c r="R611" s="35"/>
      <c r="S611" s="35"/>
      <c r="T611" s="35"/>
      <c r="U611" s="35"/>
      <c r="AE611" s="65"/>
      <c r="AF611" s="65"/>
      <c r="AG611" s="65"/>
      <c r="AH611" s="65"/>
      <c r="AI611" s="65"/>
      <c r="AJ611" s="65"/>
      <c r="AK611" s="65"/>
      <c r="AL611" s="65"/>
      <c r="AM611" s="65"/>
      <c r="AN611" s="65"/>
      <c r="AO611" s="65"/>
      <c r="AP611" s="65"/>
      <c r="AQ611" s="65"/>
      <c r="AR611" s="65"/>
      <c r="AS611" s="65"/>
      <c r="AT611" s="65"/>
    </row>
    <row r="612" spans="2:46" s="32" customFormat="1" x14ac:dyDescent="0.2">
      <c r="B612" s="44"/>
      <c r="C612" s="44"/>
      <c r="D612" s="35"/>
      <c r="E612" s="35"/>
      <c r="F612" s="35"/>
      <c r="G612" s="35"/>
      <c r="H612" s="35"/>
      <c r="I612" s="35"/>
      <c r="J612" s="35"/>
      <c r="K612" s="35"/>
      <c r="L612" s="35"/>
      <c r="M612" s="35"/>
      <c r="N612" s="35"/>
      <c r="O612" s="35"/>
      <c r="P612" s="35"/>
      <c r="Q612" s="35"/>
      <c r="R612" s="35"/>
      <c r="S612" s="35"/>
      <c r="T612" s="35"/>
      <c r="U612" s="35"/>
      <c r="AE612" s="65"/>
      <c r="AF612" s="65"/>
      <c r="AG612" s="65"/>
      <c r="AH612" s="65"/>
      <c r="AI612" s="65"/>
      <c r="AJ612" s="65"/>
      <c r="AK612" s="65"/>
      <c r="AL612" s="65"/>
      <c r="AM612" s="65"/>
      <c r="AN612" s="65"/>
      <c r="AO612" s="65"/>
      <c r="AP612" s="65"/>
      <c r="AQ612" s="65"/>
      <c r="AR612" s="65"/>
      <c r="AS612" s="65"/>
      <c r="AT612" s="65"/>
    </row>
    <row r="613" spans="2:46" s="32" customFormat="1" x14ac:dyDescent="0.2">
      <c r="B613" s="44"/>
      <c r="C613" s="44"/>
      <c r="D613" s="35"/>
      <c r="E613" s="35"/>
      <c r="F613" s="35"/>
      <c r="G613" s="35"/>
      <c r="H613" s="35"/>
      <c r="I613" s="35"/>
      <c r="J613" s="35"/>
      <c r="K613" s="35"/>
      <c r="L613" s="35"/>
      <c r="M613" s="35"/>
      <c r="N613" s="35"/>
      <c r="O613" s="35"/>
      <c r="P613" s="35"/>
      <c r="Q613" s="35"/>
      <c r="R613" s="35"/>
      <c r="S613" s="35"/>
      <c r="T613" s="35"/>
      <c r="U613" s="35"/>
      <c r="AE613" s="65"/>
      <c r="AF613" s="65"/>
      <c r="AG613" s="65"/>
      <c r="AH613" s="65"/>
      <c r="AI613" s="65"/>
      <c r="AJ613" s="65"/>
      <c r="AK613" s="65"/>
      <c r="AL613" s="65"/>
      <c r="AM613" s="65"/>
      <c r="AN613" s="65"/>
      <c r="AO613" s="65"/>
      <c r="AP613" s="65"/>
      <c r="AQ613" s="65"/>
      <c r="AR613" s="65"/>
      <c r="AS613" s="65"/>
      <c r="AT613" s="65"/>
    </row>
    <row r="614" spans="2:46" s="32" customFormat="1" x14ac:dyDescent="0.2">
      <c r="B614" s="44"/>
      <c r="C614" s="44"/>
      <c r="D614" s="35"/>
      <c r="E614" s="35"/>
      <c r="F614" s="35"/>
      <c r="G614" s="35"/>
      <c r="H614" s="35"/>
      <c r="I614" s="35"/>
      <c r="J614" s="35"/>
      <c r="K614" s="35"/>
      <c r="L614" s="35"/>
      <c r="M614" s="35"/>
      <c r="N614" s="35"/>
      <c r="O614" s="35"/>
      <c r="P614" s="35"/>
      <c r="Q614" s="35"/>
      <c r="R614" s="35"/>
      <c r="S614" s="35"/>
      <c r="T614" s="35"/>
      <c r="U614" s="35"/>
      <c r="AE614" s="65"/>
      <c r="AF614" s="65"/>
      <c r="AG614" s="65"/>
      <c r="AH614" s="65"/>
      <c r="AI614" s="65"/>
      <c r="AJ614" s="65"/>
      <c r="AK614" s="65"/>
      <c r="AL614" s="65"/>
      <c r="AM614" s="65"/>
      <c r="AN614" s="65"/>
      <c r="AO614" s="65"/>
      <c r="AP614" s="65"/>
      <c r="AQ614" s="65"/>
      <c r="AR614" s="65"/>
      <c r="AS614" s="65"/>
      <c r="AT614" s="65"/>
    </row>
    <row r="615" spans="2:46" s="32" customFormat="1" x14ac:dyDescent="0.2">
      <c r="B615" s="44"/>
      <c r="C615" s="44"/>
      <c r="D615" s="35"/>
      <c r="E615" s="35"/>
      <c r="F615" s="35"/>
      <c r="G615" s="35"/>
      <c r="H615" s="35"/>
      <c r="I615" s="35"/>
      <c r="J615" s="35"/>
      <c r="K615" s="35"/>
      <c r="L615" s="35"/>
      <c r="M615" s="35"/>
      <c r="N615" s="35"/>
      <c r="O615" s="35"/>
      <c r="P615" s="35"/>
      <c r="Q615" s="35"/>
      <c r="R615" s="35"/>
      <c r="S615" s="35"/>
      <c r="T615" s="35"/>
      <c r="U615" s="35"/>
      <c r="AE615" s="65"/>
      <c r="AF615" s="65"/>
      <c r="AG615" s="65"/>
      <c r="AH615" s="65"/>
      <c r="AI615" s="65"/>
      <c r="AJ615" s="65"/>
      <c r="AK615" s="65"/>
      <c r="AL615" s="65"/>
      <c r="AM615" s="65"/>
      <c r="AN615" s="65"/>
      <c r="AO615" s="65"/>
      <c r="AP615" s="65"/>
      <c r="AQ615" s="65"/>
      <c r="AR615" s="65"/>
      <c r="AS615" s="65"/>
      <c r="AT615" s="65"/>
    </row>
    <row r="616" spans="2:46" s="32" customFormat="1" x14ac:dyDescent="0.2">
      <c r="B616" s="44"/>
      <c r="C616" s="44"/>
      <c r="D616" s="35"/>
      <c r="E616" s="35"/>
      <c r="F616" s="35"/>
      <c r="G616" s="35"/>
      <c r="H616" s="35"/>
      <c r="I616" s="35"/>
      <c r="J616" s="35"/>
      <c r="K616" s="35"/>
      <c r="L616" s="35"/>
      <c r="M616" s="35"/>
      <c r="N616" s="35"/>
      <c r="O616" s="35"/>
      <c r="P616" s="35"/>
      <c r="Q616" s="35"/>
      <c r="R616" s="35"/>
      <c r="S616" s="35"/>
      <c r="T616" s="35"/>
      <c r="U616" s="35"/>
      <c r="AE616" s="65"/>
      <c r="AF616" s="65"/>
      <c r="AG616" s="65"/>
      <c r="AH616" s="65"/>
      <c r="AI616" s="65"/>
      <c r="AJ616" s="65"/>
      <c r="AK616" s="65"/>
      <c r="AL616" s="65"/>
      <c r="AM616" s="65"/>
      <c r="AN616" s="65"/>
      <c r="AO616" s="65"/>
      <c r="AP616" s="65"/>
      <c r="AQ616" s="65"/>
      <c r="AR616" s="65"/>
      <c r="AS616" s="65"/>
      <c r="AT616" s="65"/>
    </row>
    <row r="617" spans="2:46" s="32" customFormat="1" x14ac:dyDescent="0.2">
      <c r="B617" s="44"/>
      <c r="C617" s="44"/>
      <c r="D617" s="35"/>
      <c r="E617" s="35"/>
      <c r="F617" s="35"/>
      <c r="G617" s="35"/>
      <c r="H617" s="35"/>
      <c r="I617" s="35"/>
      <c r="J617" s="35"/>
      <c r="K617" s="35"/>
      <c r="L617" s="35"/>
      <c r="M617" s="35"/>
      <c r="N617" s="35"/>
      <c r="O617" s="35"/>
      <c r="P617" s="35"/>
      <c r="Q617" s="35"/>
      <c r="R617" s="35"/>
      <c r="S617" s="35"/>
      <c r="T617" s="35"/>
      <c r="U617" s="35"/>
      <c r="AE617" s="65"/>
      <c r="AF617" s="65"/>
      <c r="AG617" s="65"/>
      <c r="AH617" s="65"/>
      <c r="AI617" s="65"/>
      <c r="AJ617" s="65"/>
      <c r="AK617" s="65"/>
      <c r="AL617" s="65"/>
      <c r="AM617" s="65"/>
      <c r="AN617" s="65"/>
      <c r="AO617" s="65"/>
      <c r="AP617" s="65"/>
      <c r="AQ617" s="65"/>
      <c r="AR617" s="65"/>
      <c r="AS617" s="65"/>
      <c r="AT617" s="65"/>
    </row>
    <row r="618" spans="2:46" s="32" customFormat="1" x14ac:dyDescent="0.2">
      <c r="B618" s="44"/>
      <c r="C618" s="44"/>
      <c r="D618" s="35"/>
      <c r="E618" s="35"/>
      <c r="F618" s="35"/>
      <c r="G618" s="35"/>
      <c r="H618" s="35"/>
      <c r="I618" s="35"/>
      <c r="J618" s="35"/>
      <c r="K618" s="35"/>
      <c r="L618" s="35"/>
      <c r="M618" s="35"/>
      <c r="N618" s="35"/>
      <c r="O618" s="35"/>
      <c r="P618" s="35"/>
      <c r="Q618" s="35"/>
      <c r="R618" s="35"/>
      <c r="S618" s="35"/>
      <c r="T618" s="35"/>
      <c r="U618" s="35"/>
      <c r="AE618" s="65"/>
      <c r="AF618" s="65"/>
      <c r="AG618" s="65"/>
      <c r="AH618" s="65"/>
      <c r="AI618" s="65"/>
      <c r="AJ618" s="65"/>
      <c r="AK618" s="65"/>
      <c r="AL618" s="65"/>
      <c r="AM618" s="65"/>
      <c r="AN618" s="65"/>
      <c r="AO618" s="65"/>
      <c r="AP618" s="65"/>
      <c r="AQ618" s="65"/>
      <c r="AR618" s="65"/>
      <c r="AS618" s="65"/>
      <c r="AT618" s="65"/>
    </row>
    <row r="619" spans="2:46" s="32" customFormat="1" x14ac:dyDescent="0.2">
      <c r="B619" s="44"/>
      <c r="C619" s="44"/>
      <c r="D619" s="35"/>
      <c r="E619" s="35"/>
      <c r="F619" s="35"/>
      <c r="G619" s="35"/>
      <c r="H619" s="35"/>
      <c r="I619" s="35"/>
      <c r="J619" s="35"/>
      <c r="K619" s="35"/>
      <c r="L619" s="35"/>
      <c r="M619" s="35"/>
      <c r="N619" s="35"/>
      <c r="O619" s="35"/>
      <c r="P619" s="35"/>
      <c r="Q619" s="35"/>
      <c r="R619" s="35"/>
      <c r="S619" s="35"/>
      <c r="T619" s="35"/>
      <c r="U619" s="35"/>
      <c r="AE619" s="65"/>
      <c r="AF619" s="65"/>
      <c r="AG619" s="65"/>
      <c r="AH619" s="65"/>
      <c r="AI619" s="65"/>
      <c r="AJ619" s="65"/>
      <c r="AK619" s="65"/>
      <c r="AL619" s="65"/>
      <c r="AM619" s="65"/>
      <c r="AN619" s="65"/>
      <c r="AO619" s="65"/>
      <c r="AP619" s="65"/>
      <c r="AQ619" s="65"/>
      <c r="AR619" s="65"/>
      <c r="AS619" s="65"/>
      <c r="AT619" s="65"/>
    </row>
    <row r="620" spans="2:46" s="32" customFormat="1" x14ac:dyDescent="0.2">
      <c r="B620" s="44"/>
      <c r="C620" s="44"/>
      <c r="D620" s="35"/>
      <c r="E620" s="35"/>
      <c r="F620" s="35"/>
      <c r="G620" s="35"/>
      <c r="H620" s="35"/>
      <c r="I620" s="35"/>
      <c r="J620" s="35"/>
      <c r="K620" s="35"/>
      <c r="L620" s="35"/>
      <c r="M620" s="35"/>
      <c r="N620" s="35"/>
      <c r="O620" s="35"/>
      <c r="P620" s="35"/>
      <c r="Q620" s="35"/>
      <c r="R620" s="35"/>
      <c r="S620" s="35"/>
      <c r="T620" s="35"/>
      <c r="U620" s="35"/>
      <c r="AE620" s="65"/>
      <c r="AF620" s="65"/>
      <c r="AG620" s="65"/>
      <c r="AH620" s="65"/>
      <c r="AI620" s="65"/>
      <c r="AJ620" s="65"/>
      <c r="AK620" s="65"/>
      <c r="AL620" s="65"/>
      <c r="AM620" s="65"/>
      <c r="AN620" s="65"/>
      <c r="AO620" s="65"/>
      <c r="AP620" s="65"/>
      <c r="AQ620" s="65"/>
      <c r="AR620" s="65"/>
      <c r="AS620" s="65"/>
      <c r="AT620" s="65"/>
    </row>
    <row r="621" spans="2:46" s="32" customFormat="1" x14ac:dyDescent="0.2">
      <c r="B621" s="44"/>
      <c r="C621" s="44"/>
      <c r="D621" s="35"/>
      <c r="E621" s="35"/>
      <c r="F621" s="35"/>
      <c r="G621" s="35"/>
      <c r="H621" s="35"/>
      <c r="I621" s="35"/>
      <c r="J621" s="35"/>
      <c r="K621" s="35"/>
      <c r="L621" s="35"/>
      <c r="M621" s="35"/>
      <c r="N621" s="35"/>
      <c r="O621" s="35"/>
      <c r="P621" s="35"/>
      <c r="Q621" s="35"/>
      <c r="R621" s="35"/>
      <c r="S621" s="35"/>
      <c r="T621" s="35"/>
      <c r="U621" s="35"/>
      <c r="AE621" s="65"/>
      <c r="AF621" s="65"/>
      <c r="AG621" s="65"/>
      <c r="AH621" s="65"/>
      <c r="AI621" s="65"/>
      <c r="AJ621" s="65"/>
      <c r="AK621" s="65"/>
      <c r="AL621" s="65"/>
      <c r="AM621" s="65"/>
      <c r="AN621" s="65"/>
      <c r="AO621" s="65"/>
      <c r="AP621" s="65"/>
      <c r="AQ621" s="65"/>
      <c r="AR621" s="65"/>
      <c r="AS621" s="65"/>
      <c r="AT621" s="65"/>
    </row>
    <row r="622" spans="2:46" s="32" customFormat="1" x14ac:dyDescent="0.2">
      <c r="B622" s="44"/>
      <c r="C622" s="44"/>
      <c r="D622" s="35"/>
      <c r="E622" s="35"/>
      <c r="F622" s="35"/>
      <c r="G622" s="35"/>
      <c r="H622" s="35"/>
      <c r="I622" s="35"/>
      <c r="J622" s="35"/>
      <c r="K622" s="35"/>
      <c r="L622" s="35"/>
      <c r="M622" s="35"/>
      <c r="N622" s="35"/>
      <c r="O622" s="35"/>
      <c r="P622" s="35"/>
      <c r="Q622" s="35"/>
      <c r="R622" s="35"/>
      <c r="S622" s="35"/>
      <c r="T622" s="35"/>
      <c r="U622" s="35"/>
      <c r="AE622" s="65"/>
      <c r="AF622" s="65"/>
      <c r="AG622" s="65"/>
      <c r="AH622" s="65"/>
      <c r="AI622" s="65"/>
      <c r="AJ622" s="65"/>
      <c r="AK622" s="65"/>
      <c r="AL622" s="65"/>
      <c r="AM622" s="65"/>
      <c r="AN622" s="65"/>
      <c r="AO622" s="65"/>
      <c r="AP622" s="65"/>
      <c r="AQ622" s="65"/>
      <c r="AR622" s="65"/>
      <c r="AS622" s="65"/>
      <c r="AT622" s="65"/>
    </row>
    <row r="623" spans="2:46" s="32" customFormat="1" x14ac:dyDescent="0.2">
      <c r="B623" s="44"/>
      <c r="C623" s="44"/>
      <c r="D623" s="35"/>
      <c r="E623" s="35"/>
      <c r="F623" s="35"/>
      <c r="G623" s="35"/>
      <c r="H623" s="35"/>
      <c r="I623" s="35"/>
      <c r="J623" s="35"/>
      <c r="K623" s="35"/>
      <c r="L623" s="35"/>
      <c r="M623" s="35"/>
      <c r="N623" s="35"/>
      <c r="O623" s="35"/>
      <c r="P623" s="35"/>
      <c r="Q623" s="35"/>
      <c r="R623" s="35"/>
      <c r="S623" s="35"/>
      <c r="T623" s="35"/>
      <c r="U623" s="35"/>
      <c r="AE623" s="65"/>
      <c r="AF623" s="65"/>
      <c r="AG623" s="65"/>
      <c r="AH623" s="65"/>
      <c r="AI623" s="65"/>
      <c r="AJ623" s="65"/>
      <c r="AK623" s="65"/>
      <c r="AL623" s="65"/>
      <c r="AM623" s="65"/>
      <c r="AN623" s="65"/>
      <c r="AO623" s="65"/>
      <c r="AP623" s="65"/>
      <c r="AQ623" s="65"/>
      <c r="AR623" s="65"/>
      <c r="AS623" s="65"/>
      <c r="AT623" s="65"/>
    </row>
    <row r="624" spans="2:46" s="32" customFormat="1" x14ac:dyDescent="0.2">
      <c r="B624" s="44"/>
      <c r="C624" s="44"/>
      <c r="D624" s="35"/>
      <c r="E624" s="35"/>
      <c r="F624" s="35"/>
      <c r="G624" s="35"/>
      <c r="H624" s="35"/>
      <c r="I624" s="35"/>
      <c r="J624" s="35"/>
      <c r="K624" s="35"/>
      <c r="L624" s="35"/>
      <c r="M624" s="35"/>
      <c r="N624" s="35"/>
      <c r="O624" s="35"/>
      <c r="P624" s="35"/>
      <c r="Q624" s="35"/>
      <c r="R624" s="35"/>
      <c r="S624" s="35"/>
      <c r="T624" s="35"/>
      <c r="U624" s="35"/>
      <c r="AE624" s="65"/>
      <c r="AF624" s="65"/>
      <c r="AG624" s="65"/>
      <c r="AH624" s="65"/>
      <c r="AI624" s="65"/>
      <c r="AJ624" s="65"/>
      <c r="AK624" s="65"/>
      <c r="AL624" s="65"/>
      <c r="AM624" s="65"/>
      <c r="AN624" s="65"/>
      <c r="AO624" s="65"/>
      <c r="AP624" s="65"/>
      <c r="AQ624" s="65"/>
      <c r="AR624" s="65"/>
      <c r="AS624" s="65"/>
      <c r="AT624" s="65"/>
    </row>
    <row r="625" spans="2:46" s="32" customFormat="1" x14ac:dyDescent="0.2">
      <c r="B625" s="44"/>
      <c r="C625" s="44"/>
      <c r="D625" s="35"/>
      <c r="E625" s="35"/>
      <c r="F625" s="35"/>
      <c r="G625" s="35"/>
      <c r="H625" s="35"/>
      <c r="I625" s="35"/>
      <c r="J625" s="35"/>
      <c r="K625" s="35"/>
      <c r="L625" s="35"/>
      <c r="M625" s="35"/>
      <c r="N625" s="35"/>
      <c r="O625" s="35"/>
      <c r="P625" s="35"/>
      <c r="Q625" s="35"/>
      <c r="R625" s="35"/>
      <c r="S625" s="35"/>
      <c r="T625" s="35"/>
      <c r="U625" s="35"/>
      <c r="AE625" s="65"/>
      <c r="AF625" s="65"/>
      <c r="AG625" s="65"/>
      <c r="AH625" s="65"/>
      <c r="AI625" s="65"/>
      <c r="AJ625" s="65"/>
      <c r="AK625" s="65"/>
      <c r="AL625" s="65"/>
      <c r="AM625" s="65"/>
      <c r="AN625" s="65"/>
      <c r="AO625" s="65"/>
      <c r="AP625" s="65"/>
      <c r="AQ625" s="65"/>
      <c r="AR625" s="65"/>
      <c r="AS625" s="65"/>
      <c r="AT625" s="65"/>
    </row>
    <row r="626" spans="2:46" s="32" customFormat="1" x14ac:dyDescent="0.2">
      <c r="B626" s="44"/>
      <c r="C626" s="44"/>
      <c r="D626" s="35"/>
      <c r="E626" s="35"/>
      <c r="F626" s="35"/>
      <c r="G626" s="35"/>
      <c r="H626" s="35"/>
      <c r="I626" s="35"/>
      <c r="J626" s="35"/>
      <c r="K626" s="35"/>
      <c r="L626" s="35"/>
      <c r="M626" s="35"/>
      <c r="N626" s="35"/>
      <c r="O626" s="35"/>
      <c r="P626" s="35"/>
      <c r="Q626" s="35"/>
      <c r="R626" s="35"/>
      <c r="S626" s="35"/>
      <c r="T626" s="35"/>
      <c r="U626" s="35"/>
      <c r="AE626" s="65"/>
      <c r="AF626" s="65"/>
      <c r="AG626" s="65"/>
      <c r="AH626" s="65"/>
      <c r="AI626" s="65"/>
      <c r="AJ626" s="65"/>
      <c r="AK626" s="65"/>
      <c r="AL626" s="65"/>
      <c r="AM626" s="65"/>
      <c r="AN626" s="65"/>
      <c r="AO626" s="65"/>
      <c r="AP626" s="65"/>
      <c r="AQ626" s="65"/>
      <c r="AR626" s="65"/>
      <c r="AS626" s="65"/>
      <c r="AT626" s="65"/>
    </row>
    <row r="627" spans="2:46" s="32" customFormat="1" x14ac:dyDescent="0.2">
      <c r="B627" s="44"/>
      <c r="C627" s="44"/>
      <c r="D627" s="35"/>
      <c r="E627" s="35"/>
      <c r="F627" s="35"/>
      <c r="G627" s="35"/>
      <c r="H627" s="35"/>
      <c r="I627" s="35"/>
      <c r="J627" s="35"/>
      <c r="K627" s="35"/>
      <c r="L627" s="35"/>
      <c r="M627" s="35"/>
      <c r="N627" s="35"/>
      <c r="O627" s="35"/>
      <c r="P627" s="35"/>
      <c r="Q627" s="35"/>
      <c r="R627" s="35"/>
      <c r="S627" s="35"/>
      <c r="T627" s="35"/>
      <c r="U627" s="35"/>
      <c r="AE627" s="65"/>
      <c r="AF627" s="65"/>
      <c r="AG627" s="65"/>
      <c r="AH627" s="65"/>
      <c r="AI627" s="65"/>
      <c r="AJ627" s="65"/>
      <c r="AK627" s="65"/>
      <c r="AL627" s="65"/>
      <c r="AM627" s="65"/>
      <c r="AN627" s="65"/>
      <c r="AO627" s="65"/>
      <c r="AP627" s="65"/>
      <c r="AQ627" s="65"/>
      <c r="AR627" s="65"/>
      <c r="AS627" s="65"/>
      <c r="AT627" s="65"/>
    </row>
    <row r="628" spans="2:46" s="32" customFormat="1" x14ac:dyDescent="0.2">
      <c r="B628" s="44"/>
      <c r="C628" s="44"/>
      <c r="D628" s="35"/>
      <c r="E628" s="35"/>
      <c r="F628" s="35"/>
      <c r="G628" s="35"/>
      <c r="H628" s="35"/>
      <c r="I628" s="35"/>
      <c r="J628" s="35"/>
      <c r="K628" s="35"/>
      <c r="L628" s="35"/>
      <c r="M628" s="35"/>
      <c r="N628" s="35"/>
      <c r="O628" s="35"/>
      <c r="P628" s="35"/>
      <c r="Q628" s="35"/>
      <c r="R628" s="35"/>
      <c r="S628" s="35"/>
      <c r="T628" s="35"/>
      <c r="U628" s="35"/>
      <c r="AE628" s="65"/>
      <c r="AF628" s="65"/>
      <c r="AG628" s="65"/>
      <c r="AH628" s="65"/>
      <c r="AI628" s="65"/>
      <c r="AJ628" s="65"/>
      <c r="AK628" s="65"/>
      <c r="AL628" s="65"/>
      <c r="AM628" s="65"/>
      <c r="AN628" s="65"/>
      <c r="AO628" s="65"/>
      <c r="AP628" s="65"/>
      <c r="AQ628" s="65"/>
      <c r="AR628" s="65"/>
      <c r="AS628" s="65"/>
      <c r="AT628" s="65"/>
    </row>
    <row r="629" spans="2:46" s="32" customFormat="1" x14ac:dyDescent="0.2">
      <c r="B629" s="44"/>
      <c r="C629" s="44"/>
      <c r="D629" s="35"/>
      <c r="E629" s="35"/>
      <c r="F629" s="35"/>
      <c r="G629" s="35"/>
      <c r="H629" s="35"/>
      <c r="I629" s="35"/>
      <c r="J629" s="35"/>
      <c r="K629" s="35"/>
      <c r="L629" s="35"/>
      <c r="M629" s="35"/>
      <c r="N629" s="35"/>
      <c r="O629" s="35"/>
      <c r="P629" s="35"/>
      <c r="Q629" s="35"/>
      <c r="R629" s="35"/>
      <c r="S629" s="35"/>
      <c r="T629" s="35"/>
      <c r="U629" s="35"/>
      <c r="AE629" s="65"/>
      <c r="AF629" s="65"/>
      <c r="AG629" s="65"/>
      <c r="AH629" s="65"/>
      <c r="AI629" s="65"/>
      <c r="AJ629" s="65"/>
      <c r="AK629" s="65"/>
      <c r="AL629" s="65"/>
      <c r="AM629" s="65"/>
      <c r="AN629" s="65"/>
      <c r="AO629" s="65"/>
      <c r="AP629" s="65"/>
      <c r="AQ629" s="65"/>
      <c r="AR629" s="65"/>
      <c r="AS629" s="65"/>
      <c r="AT629" s="65"/>
    </row>
    <row r="630" spans="2:46" s="32" customFormat="1" x14ac:dyDescent="0.2">
      <c r="B630" s="44"/>
      <c r="C630" s="44"/>
      <c r="D630" s="35"/>
      <c r="E630" s="35"/>
      <c r="F630" s="35"/>
      <c r="G630" s="35"/>
      <c r="H630" s="35"/>
      <c r="I630" s="35"/>
      <c r="J630" s="35"/>
      <c r="K630" s="35"/>
      <c r="L630" s="35"/>
      <c r="M630" s="35"/>
      <c r="N630" s="35"/>
      <c r="O630" s="35"/>
      <c r="P630" s="35"/>
      <c r="Q630" s="35"/>
      <c r="R630" s="35"/>
      <c r="S630" s="35"/>
      <c r="T630" s="35"/>
      <c r="U630" s="35"/>
      <c r="AE630" s="65"/>
      <c r="AF630" s="65"/>
      <c r="AG630" s="65"/>
      <c r="AH630" s="65"/>
      <c r="AI630" s="65"/>
      <c r="AJ630" s="65"/>
      <c r="AK630" s="65"/>
      <c r="AL630" s="65"/>
      <c r="AM630" s="65"/>
      <c r="AN630" s="65"/>
      <c r="AO630" s="65"/>
      <c r="AP630" s="65"/>
      <c r="AQ630" s="65"/>
      <c r="AR630" s="65"/>
      <c r="AS630" s="65"/>
      <c r="AT630" s="65"/>
    </row>
    <row r="631" spans="2:46" s="32" customFormat="1" x14ac:dyDescent="0.2">
      <c r="B631" s="44"/>
      <c r="C631" s="44"/>
      <c r="D631" s="35"/>
      <c r="E631" s="35"/>
      <c r="F631" s="35"/>
      <c r="G631" s="35"/>
      <c r="H631" s="35"/>
      <c r="I631" s="35"/>
      <c r="J631" s="35"/>
      <c r="K631" s="35"/>
      <c r="L631" s="35"/>
      <c r="M631" s="35"/>
      <c r="N631" s="35"/>
      <c r="O631" s="35"/>
      <c r="P631" s="35"/>
      <c r="Q631" s="35"/>
      <c r="R631" s="35"/>
      <c r="S631" s="35"/>
      <c r="T631" s="35"/>
      <c r="U631" s="35"/>
      <c r="AE631" s="65"/>
      <c r="AF631" s="65"/>
      <c r="AG631" s="65"/>
      <c r="AH631" s="65"/>
      <c r="AI631" s="65"/>
      <c r="AJ631" s="65"/>
      <c r="AK631" s="65"/>
      <c r="AL631" s="65"/>
      <c r="AM631" s="65"/>
      <c r="AN631" s="65"/>
      <c r="AO631" s="65"/>
      <c r="AP631" s="65"/>
      <c r="AQ631" s="65"/>
      <c r="AR631" s="65"/>
      <c r="AS631" s="65"/>
      <c r="AT631" s="65"/>
    </row>
    <row r="632" spans="2:46" s="32" customFormat="1" x14ac:dyDescent="0.2">
      <c r="B632" s="44"/>
      <c r="C632" s="44"/>
      <c r="D632" s="35"/>
      <c r="E632" s="35"/>
      <c r="F632" s="35"/>
      <c r="G632" s="35"/>
      <c r="H632" s="35"/>
      <c r="I632" s="35"/>
      <c r="J632" s="35"/>
      <c r="K632" s="35"/>
      <c r="L632" s="35"/>
      <c r="M632" s="35"/>
      <c r="N632" s="35"/>
      <c r="O632" s="35"/>
      <c r="P632" s="35"/>
      <c r="Q632" s="35"/>
      <c r="R632" s="35"/>
      <c r="S632" s="35"/>
      <c r="T632" s="35"/>
      <c r="U632" s="35"/>
      <c r="AE632" s="65"/>
      <c r="AF632" s="65"/>
      <c r="AG632" s="65"/>
      <c r="AH632" s="65"/>
      <c r="AI632" s="65"/>
      <c r="AJ632" s="65"/>
      <c r="AK632" s="65"/>
      <c r="AL632" s="65"/>
      <c r="AM632" s="65"/>
      <c r="AN632" s="65"/>
      <c r="AO632" s="65"/>
      <c r="AP632" s="65"/>
      <c r="AQ632" s="65"/>
      <c r="AR632" s="65"/>
      <c r="AS632" s="65"/>
      <c r="AT632" s="65"/>
    </row>
    <row r="633" spans="2:46" s="32" customFormat="1" x14ac:dyDescent="0.2">
      <c r="B633" s="44"/>
      <c r="C633" s="44"/>
      <c r="D633" s="35"/>
      <c r="E633" s="35"/>
      <c r="F633" s="35"/>
      <c r="G633" s="35"/>
      <c r="H633" s="35"/>
      <c r="I633" s="35"/>
      <c r="J633" s="35"/>
      <c r="K633" s="35"/>
      <c r="L633" s="35"/>
      <c r="M633" s="35"/>
      <c r="N633" s="35"/>
      <c r="O633" s="35"/>
      <c r="P633" s="35"/>
      <c r="Q633" s="35"/>
      <c r="R633" s="35"/>
      <c r="S633" s="35"/>
      <c r="T633" s="35"/>
      <c r="U633" s="35"/>
      <c r="AE633" s="65"/>
      <c r="AF633" s="65"/>
      <c r="AG633" s="65"/>
      <c r="AH633" s="65"/>
      <c r="AI633" s="65"/>
      <c r="AJ633" s="65"/>
      <c r="AK633" s="65"/>
      <c r="AL633" s="65"/>
      <c r="AM633" s="65"/>
      <c r="AN633" s="65"/>
      <c r="AO633" s="65"/>
      <c r="AP633" s="65"/>
      <c r="AQ633" s="65"/>
      <c r="AR633" s="65"/>
      <c r="AS633" s="65"/>
      <c r="AT633" s="65"/>
    </row>
    <row r="634" spans="2:46" s="32" customFormat="1" x14ac:dyDescent="0.2">
      <c r="B634" s="44"/>
      <c r="C634" s="44"/>
      <c r="D634" s="35"/>
      <c r="E634" s="35"/>
      <c r="F634" s="35"/>
      <c r="G634" s="35"/>
      <c r="H634" s="35"/>
      <c r="I634" s="35"/>
      <c r="J634" s="35"/>
      <c r="K634" s="35"/>
      <c r="L634" s="35"/>
      <c r="M634" s="35"/>
      <c r="N634" s="35"/>
      <c r="O634" s="35"/>
      <c r="P634" s="35"/>
      <c r="Q634" s="35"/>
      <c r="R634" s="35"/>
      <c r="S634" s="35"/>
      <c r="T634" s="35"/>
      <c r="U634" s="35"/>
      <c r="AE634" s="65"/>
      <c r="AF634" s="65"/>
      <c r="AG634" s="65"/>
      <c r="AH634" s="65"/>
      <c r="AI634" s="65"/>
      <c r="AJ634" s="65"/>
      <c r="AK634" s="65"/>
      <c r="AL634" s="65"/>
      <c r="AM634" s="65"/>
      <c r="AN634" s="65"/>
      <c r="AO634" s="65"/>
      <c r="AP634" s="65"/>
      <c r="AQ634" s="65"/>
      <c r="AR634" s="65"/>
      <c r="AS634" s="65"/>
      <c r="AT634" s="65"/>
    </row>
    <row r="635" spans="2:46" s="32" customFormat="1" x14ac:dyDescent="0.2">
      <c r="B635" s="44"/>
      <c r="C635" s="44"/>
      <c r="D635" s="35"/>
      <c r="E635" s="35"/>
      <c r="F635" s="35"/>
      <c r="G635" s="35"/>
      <c r="H635" s="35"/>
      <c r="I635" s="35"/>
      <c r="J635" s="35"/>
      <c r="K635" s="35"/>
      <c r="L635" s="35"/>
      <c r="M635" s="35"/>
      <c r="N635" s="35"/>
      <c r="O635" s="35"/>
      <c r="P635" s="35"/>
      <c r="Q635" s="35"/>
      <c r="R635" s="35"/>
      <c r="S635" s="35"/>
      <c r="T635" s="35"/>
      <c r="U635" s="35"/>
      <c r="AE635" s="65"/>
      <c r="AF635" s="65"/>
      <c r="AG635" s="65"/>
      <c r="AH635" s="65"/>
      <c r="AI635" s="65"/>
      <c r="AJ635" s="65"/>
      <c r="AK635" s="65"/>
      <c r="AL635" s="65"/>
      <c r="AM635" s="65"/>
      <c r="AN635" s="65"/>
      <c r="AO635" s="65"/>
      <c r="AP635" s="65"/>
      <c r="AQ635" s="65"/>
      <c r="AR635" s="65"/>
      <c r="AS635" s="65"/>
      <c r="AT635" s="65"/>
    </row>
    <row r="636" spans="2:46" s="32" customFormat="1" x14ac:dyDescent="0.2">
      <c r="B636" s="44"/>
      <c r="C636" s="44"/>
      <c r="D636" s="35"/>
      <c r="E636" s="35"/>
      <c r="F636" s="35"/>
      <c r="G636" s="35"/>
      <c r="H636" s="35"/>
      <c r="I636" s="35"/>
      <c r="J636" s="35"/>
      <c r="K636" s="35"/>
      <c r="L636" s="35"/>
      <c r="M636" s="35"/>
      <c r="N636" s="35"/>
      <c r="O636" s="35"/>
      <c r="P636" s="35"/>
      <c r="Q636" s="35"/>
      <c r="R636" s="35"/>
      <c r="S636" s="35"/>
      <c r="T636" s="35"/>
      <c r="U636" s="35"/>
      <c r="AE636" s="65"/>
      <c r="AF636" s="65"/>
      <c r="AG636" s="65"/>
      <c r="AH636" s="65"/>
      <c r="AI636" s="65"/>
      <c r="AJ636" s="65"/>
      <c r="AK636" s="65"/>
      <c r="AL636" s="65"/>
      <c r="AM636" s="65"/>
      <c r="AN636" s="65"/>
      <c r="AO636" s="65"/>
      <c r="AP636" s="65"/>
      <c r="AQ636" s="65"/>
      <c r="AR636" s="65"/>
      <c r="AS636" s="65"/>
      <c r="AT636" s="65"/>
    </row>
    <row r="637" spans="2:46" s="32" customFormat="1" x14ac:dyDescent="0.2">
      <c r="B637" s="44"/>
      <c r="C637" s="44"/>
      <c r="D637" s="35"/>
      <c r="E637" s="35"/>
      <c r="F637" s="35"/>
      <c r="G637" s="35"/>
      <c r="H637" s="35"/>
      <c r="I637" s="35"/>
      <c r="J637" s="35"/>
      <c r="K637" s="35"/>
      <c r="L637" s="35"/>
      <c r="M637" s="35"/>
      <c r="N637" s="35"/>
      <c r="O637" s="35"/>
      <c r="P637" s="35"/>
      <c r="Q637" s="35"/>
      <c r="R637" s="35"/>
      <c r="S637" s="35"/>
      <c r="T637" s="35"/>
      <c r="U637" s="35"/>
      <c r="AE637" s="65"/>
      <c r="AF637" s="65"/>
      <c r="AG637" s="65"/>
      <c r="AH637" s="65"/>
      <c r="AI637" s="65"/>
      <c r="AJ637" s="65"/>
      <c r="AK637" s="65"/>
      <c r="AL637" s="65"/>
      <c r="AM637" s="65"/>
      <c r="AN637" s="65"/>
      <c r="AO637" s="65"/>
      <c r="AP637" s="65"/>
      <c r="AQ637" s="65"/>
      <c r="AR637" s="65"/>
      <c r="AS637" s="65"/>
      <c r="AT637" s="65"/>
    </row>
    <row r="638" spans="2:46" s="32" customFormat="1" x14ac:dyDescent="0.2">
      <c r="B638" s="44"/>
      <c r="C638" s="44"/>
      <c r="D638" s="35"/>
      <c r="E638" s="35"/>
      <c r="F638" s="35"/>
      <c r="G638" s="35"/>
      <c r="H638" s="35"/>
      <c r="I638" s="35"/>
      <c r="J638" s="35"/>
      <c r="K638" s="35"/>
      <c r="L638" s="35"/>
      <c r="M638" s="35"/>
      <c r="N638" s="35"/>
      <c r="O638" s="35"/>
      <c r="P638" s="35"/>
      <c r="Q638" s="35"/>
      <c r="R638" s="35"/>
      <c r="S638" s="35"/>
      <c r="T638" s="35"/>
      <c r="U638" s="35"/>
      <c r="AE638" s="65"/>
      <c r="AF638" s="65"/>
      <c r="AG638" s="65"/>
      <c r="AH638" s="65"/>
      <c r="AI638" s="65"/>
      <c r="AJ638" s="65"/>
      <c r="AK638" s="65"/>
      <c r="AL638" s="65"/>
      <c r="AM638" s="65"/>
      <c r="AN638" s="65"/>
      <c r="AO638" s="65"/>
      <c r="AP638" s="65"/>
      <c r="AQ638" s="65"/>
      <c r="AR638" s="65"/>
      <c r="AS638" s="65"/>
      <c r="AT638" s="65"/>
    </row>
    <row r="639" spans="2:46" s="32" customFormat="1" x14ac:dyDescent="0.2">
      <c r="B639" s="44"/>
      <c r="C639" s="44"/>
      <c r="D639" s="35"/>
      <c r="E639" s="35"/>
      <c r="F639" s="35"/>
      <c r="G639" s="35"/>
      <c r="H639" s="35"/>
      <c r="I639" s="35"/>
      <c r="J639" s="35"/>
      <c r="K639" s="35"/>
      <c r="L639" s="35"/>
      <c r="M639" s="35"/>
      <c r="N639" s="35"/>
      <c r="O639" s="35"/>
      <c r="P639" s="35"/>
      <c r="Q639" s="35"/>
      <c r="R639" s="35"/>
      <c r="S639" s="35"/>
      <c r="T639" s="35"/>
      <c r="U639" s="35"/>
      <c r="AE639" s="65"/>
      <c r="AF639" s="65"/>
      <c r="AG639" s="65"/>
      <c r="AH639" s="65"/>
      <c r="AI639" s="65"/>
      <c r="AJ639" s="65"/>
      <c r="AK639" s="65"/>
      <c r="AL639" s="65"/>
      <c r="AM639" s="65"/>
      <c r="AN639" s="65"/>
      <c r="AO639" s="65"/>
      <c r="AP639" s="65"/>
      <c r="AQ639" s="65"/>
      <c r="AR639" s="65"/>
      <c r="AS639" s="65"/>
      <c r="AT639" s="65"/>
    </row>
    <row r="640" spans="2:46" s="32" customFormat="1" x14ac:dyDescent="0.2">
      <c r="B640" s="44"/>
      <c r="C640" s="44"/>
      <c r="D640" s="35"/>
      <c r="E640" s="35"/>
      <c r="F640" s="35"/>
      <c r="G640" s="35"/>
      <c r="H640" s="35"/>
      <c r="I640" s="35"/>
      <c r="J640" s="35"/>
      <c r="K640" s="35"/>
      <c r="L640" s="35"/>
      <c r="M640" s="35"/>
      <c r="N640" s="35"/>
      <c r="O640" s="35"/>
      <c r="P640" s="35"/>
      <c r="Q640" s="35"/>
      <c r="R640" s="35"/>
      <c r="S640" s="35"/>
      <c r="T640" s="35"/>
      <c r="U640" s="35"/>
      <c r="AE640" s="65"/>
      <c r="AF640" s="65"/>
      <c r="AG640" s="65"/>
      <c r="AH640" s="65"/>
      <c r="AI640" s="65"/>
      <c r="AJ640" s="65"/>
      <c r="AK640" s="65"/>
      <c r="AL640" s="65"/>
      <c r="AM640" s="65"/>
      <c r="AN640" s="65"/>
      <c r="AO640" s="65"/>
      <c r="AP640" s="65"/>
      <c r="AQ640" s="65"/>
      <c r="AR640" s="65"/>
      <c r="AS640" s="65"/>
      <c r="AT640" s="65"/>
    </row>
    <row r="641" spans="2:46" s="32" customFormat="1" x14ac:dyDescent="0.2">
      <c r="B641" s="44"/>
      <c r="C641" s="44"/>
      <c r="D641" s="35"/>
      <c r="E641" s="35"/>
      <c r="F641" s="35"/>
      <c r="G641" s="35"/>
      <c r="H641" s="35"/>
      <c r="I641" s="35"/>
      <c r="J641" s="35"/>
      <c r="K641" s="35"/>
      <c r="L641" s="35"/>
      <c r="M641" s="35"/>
      <c r="N641" s="35"/>
      <c r="O641" s="35"/>
      <c r="P641" s="35"/>
      <c r="Q641" s="35"/>
      <c r="R641" s="35"/>
      <c r="S641" s="35"/>
      <c r="T641" s="35"/>
      <c r="U641" s="35"/>
      <c r="AE641" s="65"/>
      <c r="AF641" s="65"/>
      <c r="AG641" s="65"/>
      <c r="AH641" s="65"/>
      <c r="AI641" s="65"/>
      <c r="AJ641" s="65"/>
      <c r="AK641" s="65"/>
      <c r="AL641" s="65"/>
      <c r="AM641" s="65"/>
      <c r="AN641" s="65"/>
      <c r="AO641" s="65"/>
      <c r="AP641" s="65"/>
      <c r="AQ641" s="65"/>
      <c r="AR641" s="65"/>
      <c r="AS641" s="65"/>
      <c r="AT641" s="65"/>
    </row>
    <row r="642" spans="2:46" s="32" customFormat="1" x14ac:dyDescent="0.2">
      <c r="B642" s="44"/>
      <c r="C642" s="44"/>
      <c r="D642" s="35"/>
      <c r="E642" s="35"/>
      <c r="F642" s="35"/>
      <c r="G642" s="35"/>
      <c r="H642" s="35"/>
      <c r="I642" s="35"/>
      <c r="J642" s="35"/>
      <c r="K642" s="35"/>
      <c r="L642" s="35"/>
      <c r="M642" s="35"/>
      <c r="N642" s="35"/>
      <c r="O642" s="35"/>
      <c r="P642" s="35"/>
      <c r="Q642" s="35"/>
      <c r="R642" s="35"/>
      <c r="S642" s="35"/>
      <c r="T642" s="35"/>
      <c r="U642" s="35"/>
      <c r="AE642" s="65"/>
      <c r="AF642" s="65"/>
      <c r="AG642" s="65"/>
      <c r="AH642" s="65"/>
      <c r="AI642" s="65"/>
      <c r="AJ642" s="65"/>
      <c r="AK642" s="65"/>
      <c r="AL642" s="65"/>
      <c r="AM642" s="65"/>
      <c r="AN642" s="65"/>
      <c r="AO642" s="65"/>
      <c r="AP642" s="65"/>
      <c r="AQ642" s="65"/>
      <c r="AR642" s="65"/>
      <c r="AS642" s="65"/>
      <c r="AT642" s="65"/>
    </row>
    <row r="643" spans="2:46" s="32" customFormat="1" x14ac:dyDescent="0.2">
      <c r="B643" s="44"/>
      <c r="C643" s="44"/>
      <c r="D643" s="35"/>
      <c r="E643" s="35"/>
      <c r="F643" s="35"/>
      <c r="G643" s="35"/>
      <c r="H643" s="35"/>
      <c r="I643" s="35"/>
      <c r="J643" s="35"/>
      <c r="K643" s="35"/>
      <c r="L643" s="35"/>
      <c r="M643" s="35"/>
      <c r="N643" s="35"/>
      <c r="O643" s="35"/>
      <c r="P643" s="35"/>
      <c r="Q643" s="35"/>
      <c r="R643" s="35"/>
      <c r="S643" s="35"/>
      <c r="T643" s="35"/>
      <c r="U643" s="35"/>
      <c r="AE643" s="65"/>
      <c r="AF643" s="65"/>
      <c r="AG643" s="65"/>
      <c r="AH643" s="65"/>
      <c r="AI643" s="65"/>
      <c r="AJ643" s="65"/>
      <c r="AK643" s="65"/>
      <c r="AL643" s="65"/>
      <c r="AM643" s="65"/>
      <c r="AN643" s="65"/>
      <c r="AO643" s="65"/>
      <c r="AP643" s="65"/>
      <c r="AQ643" s="65"/>
      <c r="AR643" s="65"/>
      <c r="AS643" s="65"/>
      <c r="AT643" s="65"/>
    </row>
    <row r="644" spans="2:46" s="32" customFormat="1" x14ac:dyDescent="0.2">
      <c r="B644" s="44"/>
      <c r="C644" s="44"/>
      <c r="D644" s="35"/>
      <c r="E644" s="35"/>
      <c r="F644" s="35"/>
      <c r="G644" s="35"/>
      <c r="H644" s="35"/>
      <c r="I644" s="35"/>
      <c r="J644" s="35"/>
      <c r="K644" s="35"/>
      <c r="L644" s="35"/>
      <c r="M644" s="35"/>
      <c r="N644" s="35"/>
      <c r="O644" s="35"/>
      <c r="P644" s="35"/>
      <c r="Q644" s="35"/>
      <c r="R644" s="35"/>
      <c r="S644" s="35"/>
      <c r="T644" s="35"/>
      <c r="U644" s="35"/>
      <c r="AE644" s="65"/>
      <c r="AF644" s="65"/>
      <c r="AG644" s="65"/>
      <c r="AH644" s="65"/>
      <c r="AI644" s="65"/>
      <c r="AJ644" s="65"/>
      <c r="AK644" s="65"/>
      <c r="AL644" s="65"/>
      <c r="AM644" s="65"/>
      <c r="AN644" s="65"/>
      <c r="AO644" s="65"/>
      <c r="AP644" s="65"/>
      <c r="AQ644" s="65"/>
      <c r="AR644" s="65"/>
      <c r="AS644" s="65"/>
      <c r="AT644" s="65"/>
    </row>
    <row r="645" spans="2:46" s="32" customFormat="1" x14ac:dyDescent="0.2">
      <c r="B645" s="44"/>
      <c r="C645" s="44"/>
      <c r="D645" s="35"/>
      <c r="E645" s="35"/>
      <c r="F645" s="35"/>
      <c r="G645" s="35"/>
      <c r="H645" s="35"/>
      <c r="I645" s="35"/>
      <c r="J645" s="35"/>
      <c r="K645" s="35"/>
      <c r="L645" s="35"/>
      <c r="M645" s="35"/>
      <c r="N645" s="35"/>
      <c r="O645" s="35"/>
      <c r="P645" s="35"/>
      <c r="Q645" s="35"/>
      <c r="R645" s="35"/>
      <c r="S645" s="35"/>
      <c r="T645" s="35"/>
      <c r="U645" s="35"/>
      <c r="AE645" s="65"/>
      <c r="AF645" s="65"/>
      <c r="AG645" s="65"/>
      <c r="AH645" s="65"/>
      <c r="AI645" s="65"/>
      <c r="AJ645" s="65"/>
      <c r="AK645" s="65"/>
      <c r="AL645" s="65"/>
      <c r="AM645" s="65"/>
      <c r="AN645" s="65"/>
      <c r="AO645" s="65"/>
      <c r="AP645" s="65"/>
      <c r="AQ645" s="65"/>
      <c r="AR645" s="65"/>
      <c r="AS645" s="65"/>
      <c r="AT645" s="65"/>
    </row>
    <row r="646" spans="2:46" s="32" customFormat="1" x14ac:dyDescent="0.2">
      <c r="B646" s="44"/>
      <c r="C646" s="44"/>
      <c r="D646" s="35"/>
      <c r="E646" s="35"/>
      <c r="F646" s="35"/>
      <c r="G646" s="35"/>
      <c r="H646" s="35"/>
      <c r="I646" s="35"/>
      <c r="J646" s="35"/>
      <c r="K646" s="35"/>
      <c r="L646" s="35"/>
      <c r="M646" s="35"/>
      <c r="N646" s="35"/>
      <c r="O646" s="35"/>
      <c r="P646" s="35"/>
      <c r="Q646" s="35"/>
      <c r="R646" s="35"/>
      <c r="S646" s="35"/>
      <c r="T646" s="35"/>
      <c r="U646" s="35"/>
      <c r="AE646" s="65"/>
      <c r="AF646" s="65"/>
      <c r="AG646" s="65"/>
      <c r="AH646" s="65"/>
      <c r="AI646" s="65"/>
      <c r="AJ646" s="65"/>
      <c r="AK646" s="65"/>
      <c r="AL646" s="65"/>
      <c r="AM646" s="65"/>
      <c r="AN646" s="65"/>
      <c r="AO646" s="65"/>
      <c r="AP646" s="65"/>
      <c r="AQ646" s="65"/>
      <c r="AR646" s="65"/>
      <c r="AS646" s="65"/>
      <c r="AT646" s="65"/>
    </row>
    <row r="647" spans="2:46" s="32" customFormat="1" x14ac:dyDescent="0.2">
      <c r="B647" s="44"/>
      <c r="C647" s="44"/>
      <c r="D647" s="35"/>
      <c r="E647" s="35"/>
      <c r="F647" s="35"/>
      <c r="G647" s="35"/>
      <c r="H647" s="35"/>
      <c r="I647" s="35"/>
      <c r="J647" s="35"/>
      <c r="K647" s="35"/>
      <c r="L647" s="35"/>
      <c r="M647" s="35"/>
      <c r="N647" s="35"/>
      <c r="O647" s="35"/>
      <c r="P647" s="35"/>
      <c r="Q647" s="35"/>
      <c r="R647" s="35"/>
      <c r="S647" s="35"/>
      <c r="T647" s="35"/>
      <c r="U647" s="35"/>
      <c r="AE647" s="65"/>
      <c r="AF647" s="65"/>
      <c r="AG647" s="65"/>
      <c r="AH647" s="65"/>
      <c r="AI647" s="65"/>
      <c r="AJ647" s="65"/>
      <c r="AK647" s="65"/>
      <c r="AL647" s="65"/>
      <c r="AM647" s="65"/>
      <c r="AN647" s="65"/>
      <c r="AO647" s="65"/>
      <c r="AP647" s="65"/>
      <c r="AQ647" s="65"/>
      <c r="AR647" s="65"/>
      <c r="AS647" s="65"/>
      <c r="AT647" s="65"/>
    </row>
    <row r="648" spans="2:46" s="32" customFormat="1" x14ac:dyDescent="0.2">
      <c r="B648" s="44"/>
      <c r="C648" s="44"/>
      <c r="D648" s="35"/>
      <c r="E648" s="35"/>
      <c r="F648" s="35"/>
      <c r="G648" s="35"/>
      <c r="H648" s="35"/>
      <c r="I648" s="35"/>
      <c r="J648" s="35"/>
      <c r="K648" s="35"/>
      <c r="L648" s="35"/>
      <c r="M648" s="35"/>
      <c r="N648" s="35"/>
      <c r="O648" s="35"/>
      <c r="P648" s="35"/>
      <c r="Q648" s="35"/>
      <c r="R648" s="35"/>
      <c r="S648" s="35"/>
      <c r="T648" s="35"/>
      <c r="U648" s="35"/>
      <c r="AE648" s="65"/>
      <c r="AF648" s="65"/>
      <c r="AG648" s="65"/>
      <c r="AH648" s="65"/>
      <c r="AI648" s="65"/>
      <c r="AJ648" s="65"/>
      <c r="AK648" s="65"/>
      <c r="AL648" s="65"/>
      <c r="AM648" s="65"/>
      <c r="AN648" s="65"/>
      <c r="AO648" s="65"/>
      <c r="AP648" s="65"/>
      <c r="AQ648" s="65"/>
      <c r="AR648" s="65"/>
      <c r="AS648" s="65"/>
      <c r="AT648" s="65"/>
    </row>
  </sheetData>
  <sheetProtection formatCells="0" formatColumns="0" formatRows="0" selectLockedCells="1" selectUnlockedCells="1"/>
  <mergeCells count="94">
    <mergeCell ref="B36:B42"/>
    <mergeCell ref="D39:G40"/>
    <mergeCell ref="D41:G42"/>
    <mergeCell ref="B1:G1"/>
    <mergeCell ref="B10:B13"/>
    <mergeCell ref="E10:G10"/>
    <mergeCell ref="E11:G11"/>
    <mergeCell ref="E12:G12"/>
    <mergeCell ref="E13:G13"/>
    <mergeCell ref="C10:D10"/>
    <mergeCell ref="C8:G8"/>
    <mergeCell ref="C2:D2"/>
    <mergeCell ref="C3:D3"/>
    <mergeCell ref="C4:D4"/>
    <mergeCell ref="C17:E17"/>
    <mergeCell ref="F2:G2"/>
    <mergeCell ref="D43:G44"/>
    <mergeCell ref="D45:G46"/>
    <mergeCell ref="D47:G48"/>
    <mergeCell ref="D49:G50"/>
    <mergeCell ref="D35:G36"/>
    <mergeCell ref="K7:P7"/>
    <mergeCell ref="K6:P6"/>
    <mergeCell ref="K3:P5"/>
    <mergeCell ref="K10:P11"/>
    <mergeCell ref="R6:AB6"/>
    <mergeCell ref="R7:AB7"/>
    <mergeCell ref="R8:AB8"/>
    <mergeCell ref="R12:AB16"/>
    <mergeCell ref="K12:P16"/>
    <mergeCell ref="K17:P21"/>
    <mergeCell ref="R17:AB21"/>
    <mergeCell ref="K8:P8"/>
    <mergeCell ref="K22:P23"/>
    <mergeCell ref="K24:P28"/>
    <mergeCell ref="R24:AB28"/>
    <mergeCell ref="K29:P35"/>
    <mergeCell ref="R29:AB35"/>
    <mergeCell ref="K36:P37"/>
    <mergeCell ref="K38:P41"/>
    <mergeCell ref="R38:W41"/>
    <mergeCell ref="K42:P51"/>
    <mergeCell ref="R42:W51"/>
    <mergeCell ref="F3:G3"/>
    <mergeCell ref="F4:G4"/>
    <mergeCell ref="C6:G6"/>
    <mergeCell ref="C7:G7"/>
    <mergeCell ref="F19:G19"/>
    <mergeCell ref="F20:G20"/>
    <mergeCell ref="C11:D11"/>
    <mergeCell ref="C12:D12"/>
    <mergeCell ref="C13:D13"/>
    <mergeCell ref="C14:E14"/>
    <mergeCell ref="C15:E15"/>
    <mergeCell ref="C16:E16"/>
    <mergeCell ref="C18:E18"/>
    <mergeCell ref="C19:E19"/>
    <mergeCell ref="F14:G14"/>
    <mergeCell ref="F15:G15"/>
    <mergeCell ref="F16:G16"/>
    <mergeCell ref="F17:G17"/>
    <mergeCell ref="F18:G18"/>
    <mergeCell ref="Y48:AB49"/>
    <mergeCell ref="Y50:AB51"/>
    <mergeCell ref="C24:E24"/>
    <mergeCell ref="F24:G24"/>
    <mergeCell ref="B14:B24"/>
    <mergeCell ref="B25:G25"/>
    <mergeCell ref="B26:B27"/>
    <mergeCell ref="C26:E27"/>
    <mergeCell ref="F26:G26"/>
    <mergeCell ref="C21:E21"/>
    <mergeCell ref="F21:G21"/>
    <mergeCell ref="C22:E22"/>
    <mergeCell ref="F22:G22"/>
    <mergeCell ref="C23:E23"/>
    <mergeCell ref="F23:G23"/>
    <mergeCell ref="C20:E20"/>
    <mergeCell ref="B43:B50"/>
    <mergeCell ref="B30:B33"/>
    <mergeCell ref="C30:G33"/>
    <mergeCell ref="K1:Z1"/>
    <mergeCell ref="Y36:AB37"/>
    <mergeCell ref="B28:B29"/>
    <mergeCell ref="C28:E29"/>
    <mergeCell ref="F27:G27"/>
    <mergeCell ref="F28:G28"/>
    <mergeCell ref="F29:G29"/>
    <mergeCell ref="D37:G38"/>
    <mergeCell ref="Y38:AB39"/>
    <mergeCell ref="Y40:AB41"/>
    <mergeCell ref="Y42:AB43"/>
    <mergeCell ref="Y44:AB45"/>
    <mergeCell ref="Y46:AB47"/>
  </mergeCells>
  <printOptions horizontalCentered="1" gridLines="1"/>
  <pageMargins left="0.25" right="0.25" top="0.43" bottom="0.44" header="0.25" footer="0.26"/>
  <pageSetup scale="76" orientation="portrait" r:id="rId1"/>
  <headerFooter alignWithMargins="0"/>
  <rowBreaks count="1" manualBreakCount="1">
    <brk id="29" min="1" max="256"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pageSetUpPr fitToPage="1"/>
  </sheetPr>
  <dimension ref="B1:G97"/>
  <sheetViews>
    <sheetView showGridLines="0" workbookViewId="0">
      <selection activeCell="C29" sqref="C29:E29"/>
    </sheetView>
  </sheetViews>
  <sheetFormatPr defaultRowHeight="15" x14ac:dyDescent="0.25"/>
  <cols>
    <col min="1" max="1" width="13.42578125" customWidth="1"/>
    <col min="2" max="2" width="25.7109375" style="99" customWidth="1"/>
    <col min="3" max="3" width="25.5703125" style="99" customWidth="1"/>
    <col min="4" max="4" width="16.140625" style="99" customWidth="1"/>
    <col min="5" max="6" width="25.7109375" style="99" customWidth="1"/>
    <col min="7" max="7" width="24.28515625" style="99" customWidth="1"/>
  </cols>
  <sheetData>
    <row r="1" spans="2:7" ht="25.5" customHeight="1" thickBot="1" x14ac:dyDescent="0.3">
      <c r="B1" s="543" t="s">
        <v>65</v>
      </c>
      <c r="C1" s="544"/>
      <c r="D1" s="544"/>
      <c r="E1" s="544"/>
      <c r="F1" s="544"/>
      <c r="G1" s="545"/>
    </row>
    <row r="2" spans="2:7" ht="15.75" x14ac:dyDescent="0.25">
      <c r="B2" s="207" t="s">
        <v>66</v>
      </c>
      <c r="C2" s="546" t="str">
        <f>'Intake Form'!C4</f>
        <v>CloudMed DRG Validation &amp; Underpayment Implementation</v>
      </c>
      <c r="D2" s="547"/>
      <c r="E2" s="208" t="s">
        <v>67</v>
      </c>
      <c r="F2" s="546">
        <f>'Intake Form'!M5</f>
        <v>0</v>
      </c>
      <c r="G2" s="548"/>
    </row>
    <row r="3" spans="2:7" ht="16.5" thickBot="1" x14ac:dyDescent="0.3">
      <c r="B3" s="216" t="s">
        <v>68</v>
      </c>
      <c r="C3" s="549"/>
      <c r="D3" s="550"/>
      <c r="E3" s="217" t="s">
        <v>107</v>
      </c>
      <c r="F3" s="551" t="str">
        <f>'Intake Form'!L7</f>
        <v>Underpays, D. Lauten; DRG Val, G. DiCrocco</v>
      </c>
      <c r="G3" s="552"/>
    </row>
    <row r="4" spans="2:7" ht="15.75" thickBot="1" x14ac:dyDescent="0.3">
      <c r="B4" s="493"/>
      <c r="C4" s="494"/>
      <c r="D4" s="494"/>
      <c r="E4" s="494"/>
      <c r="F4" s="494"/>
      <c r="G4" s="495"/>
    </row>
    <row r="5" spans="2:7" ht="51" customHeight="1" x14ac:dyDescent="0.25">
      <c r="B5" s="218" t="s">
        <v>348</v>
      </c>
      <c r="C5" s="522" t="str">
        <f>'Intake Form'!C6</f>
        <v xml:space="preserve">Accurate DRG selection &amp; payer payment according to contract are critical to maximized revenue. Implementing CloudMed's DRG Validation &amp; Underpayment Services is expected to increase revenue by $1M-$7M annually. 2022 AHWFB Budget expects $500k for both. If not implemented by May 2022, this revenue will be delayed &amp; cause negative variance to budget. </v>
      </c>
      <c r="D5" s="523"/>
      <c r="E5" s="523"/>
      <c r="F5" s="523"/>
      <c r="G5" s="524"/>
    </row>
    <row r="6" spans="2:7" ht="39" customHeight="1" x14ac:dyDescent="0.25">
      <c r="B6" s="209" t="s">
        <v>75</v>
      </c>
      <c r="C6" s="525" t="str">
        <f>'Intake Form'!C23</f>
        <v xml:space="preserve">2022 AHWFB Budget expects $500k for both. If not implemented by May 2022, this revenue will be delayed &amp; cause negative variance to budget. </v>
      </c>
      <c r="D6" s="526"/>
      <c r="E6" s="526"/>
      <c r="F6" s="526"/>
      <c r="G6" s="527"/>
    </row>
    <row r="7" spans="2:7" ht="54.75" customHeight="1" thickBot="1" x14ac:dyDescent="0.3">
      <c r="B7" s="215" t="s">
        <v>347</v>
      </c>
      <c r="C7" s="528" t="str">
        <f>'Intake Form'!C20</f>
        <v xml:space="preserve">Implement CloudMed services by May 2022 and begin realizing additional revenue by July 2022, for a total of $500k for each service in 2022. </v>
      </c>
      <c r="D7" s="529"/>
      <c r="E7" s="529"/>
      <c r="F7" s="529"/>
      <c r="G7" s="530"/>
    </row>
    <row r="8" spans="2:7" ht="15.75" thickBot="1" x14ac:dyDescent="0.3">
      <c r="B8" s="477"/>
      <c r="C8" s="478"/>
      <c r="D8" s="478"/>
      <c r="E8" s="478"/>
      <c r="F8" s="478"/>
      <c r="G8" s="479"/>
    </row>
    <row r="9" spans="2:7" ht="15.75" x14ac:dyDescent="0.25">
      <c r="B9" s="553" t="s">
        <v>79</v>
      </c>
      <c r="C9" s="531" t="s">
        <v>80</v>
      </c>
      <c r="D9" s="497"/>
      <c r="E9" s="532"/>
      <c r="F9" s="536" t="s">
        <v>81</v>
      </c>
      <c r="G9" s="537"/>
    </row>
    <row r="10" spans="2:7" x14ac:dyDescent="0.25">
      <c r="B10" s="508"/>
      <c r="C10" s="533" t="s">
        <v>388</v>
      </c>
      <c r="D10" s="534"/>
      <c r="E10" s="535"/>
      <c r="F10" s="500"/>
      <c r="G10" s="501"/>
    </row>
    <row r="11" spans="2:7" x14ac:dyDescent="0.25">
      <c r="B11" s="508"/>
      <c r="C11" s="533" t="s">
        <v>389</v>
      </c>
      <c r="D11" s="534"/>
      <c r="E11" s="535"/>
      <c r="F11" s="500"/>
      <c r="G11" s="501"/>
    </row>
    <row r="12" spans="2:7" x14ac:dyDescent="0.25">
      <c r="B12" s="508"/>
      <c r="C12" s="488" t="s">
        <v>390</v>
      </c>
      <c r="D12" s="517"/>
      <c r="E12" s="518"/>
      <c r="F12" s="500"/>
      <c r="G12" s="501"/>
    </row>
    <row r="13" spans="2:7" x14ac:dyDescent="0.25">
      <c r="B13" s="508"/>
      <c r="C13" s="488" t="s">
        <v>391</v>
      </c>
      <c r="D13" s="517"/>
      <c r="E13" s="518"/>
      <c r="F13" s="500"/>
      <c r="G13" s="501"/>
    </row>
    <row r="14" spans="2:7" x14ac:dyDescent="0.25">
      <c r="B14" s="508"/>
      <c r="C14" s="488"/>
      <c r="D14" s="517"/>
      <c r="E14" s="518"/>
      <c r="F14" s="502"/>
      <c r="G14" s="503"/>
    </row>
    <row r="15" spans="2:7" ht="15.75" x14ac:dyDescent="0.25">
      <c r="B15" s="554" t="s">
        <v>349</v>
      </c>
      <c r="C15" s="538" t="s">
        <v>85</v>
      </c>
      <c r="D15" s="539"/>
      <c r="E15" s="540"/>
      <c r="F15" s="541" t="s">
        <v>86</v>
      </c>
      <c r="G15" s="542"/>
    </row>
    <row r="16" spans="2:7" x14ac:dyDescent="0.25">
      <c r="B16" s="555"/>
      <c r="C16" s="454"/>
      <c r="D16" s="455"/>
      <c r="E16" s="456"/>
      <c r="F16" s="556"/>
      <c r="G16" s="557"/>
    </row>
    <row r="17" spans="2:7" x14ac:dyDescent="0.25">
      <c r="B17" s="555"/>
      <c r="C17" s="454" t="s">
        <v>87</v>
      </c>
      <c r="D17" s="455"/>
      <c r="E17" s="456"/>
      <c r="F17" s="446">
        <v>44620</v>
      </c>
      <c r="G17" s="447"/>
    </row>
    <row r="18" spans="2:7" x14ac:dyDescent="0.25">
      <c r="B18" s="555"/>
      <c r="C18" s="454" t="s">
        <v>405</v>
      </c>
      <c r="D18" s="455"/>
      <c r="E18" s="456"/>
      <c r="F18" s="446" t="s">
        <v>410</v>
      </c>
      <c r="G18" s="447"/>
    </row>
    <row r="19" spans="2:7" x14ac:dyDescent="0.25">
      <c r="B19" s="555"/>
      <c r="C19" s="454" t="s">
        <v>406</v>
      </c>
      <c r="D19" s="455"/>
      <c r="E19" s="456"/>
      <c r="F19" s="444" t="s">
        <v>408</v>
      </c>
      <c r="G19" s="445"/>
    </row>
    <row r="20" spans="2:7" x14ac:dyDescent="0.25">
      <c r="B20" s="555"/>
      <c r="C20" s="454" t="s">
        <v>407</v>
      </c>
      <c r="D20" s="455"/>
      <c r="E20" s="456"/>
      <c r="F20" s="446" t="s">
        <v>408</v>
      </c>
      <c r="G20" s="447"/>
    </row>
    <row r="21" spans="2:7" x14ac:dyDescent="0.25">
      <c r="B21" s="555"/>
      <c r="C21" s="454" t="s">
        <v>411</v>
      </c>
      <c r="D21" s="455"/>
      <c r="E21" s="456"/>
      <c r="F21" s="457" t="s">
        <v>412</v>
      </c>
      <c r="G21" s="458"/>
    </row>
    <row r="22" spans="2:7" x14ac:dyDescent="0.25">
      <c r="B22" s="555"/>
      <c r="C22" s="454" t="s">
        <v>413</v>
      </c>
      <c r="D22" s="455"/>
      <c r="E22" s="456"/>
      <c r="F22" s="457" t="s">
        <v>412</v>
      </c>
      <c r="G22" s="458"/>
    </row>
    <row r="23" spans="2:7" x14ac:dyDescent="0.25">
      <c r="B23" s="555"/>
      <c r="C23" s="454" t="s">
        <v>108</v>
      </c>
      <c r="D23" s="455"/>
      <c r="E23" s="456"/>
      <c r="F23" s="459">
        <v>44682</v>
      </c>
      <c r="G23" s="458"/>
    </row>
    <row r="24" spans="2:7" x14ac:dyDescent="0.25">
      <c r="B24" s="555"/>
      <c r="C24" s="454" t="s">
        <v>414</v>
      </c>
      <c r="D24" s="455"/>
      <c r="E24" s="456"/>
      <c r="F24" s="444">
        <v>44743</v>
      </c>
      <c r="G24" s="458"/>
    </row>
    <row r="25" spans="2:7" x14ac:dyDescent="0.25">
      <c r="B25" s="555"/>
      <c r="C25" s="454" t="s">
        <v>415</v>
      </c>
      <c r="D25" s="455"/>
      <c r="E25" s="456"/>
      <c r="F25" s="446">
        <v>44805</v>
      </c>
      <c r="G25" s="447"/>
    </row>
    <row r="26" spans="2:7" x14ac:dyDescent="0.25">
      <c r="B26" s="555"/>
      <c r="C26" s="454"/>
      <c r="D26" s="455"/>
      <c r="E26" s="456"/>
      <c r="F26" s="446"/>
      <c r="G26" s="447"/>
    </row>
    <row r="27" spans="2:7" x14ac:dyDescent="0.25">
      <c r="B27" s="555"/>
      <c r="C27" s="454" t="s">
        <v>409</v>
      </c>
      <c r="D27" s="455"/>
      <c r="E27" s="456"/>
      <c r="F27" s="446"/>
      <c r="G27" s="447"/>
    </row>
    <row r="28" spans="2:7" x14ac:dyDescent="0.25">
      <c r="B28" s="555"/>
      <c r="C28" s="454" t="s">
        <v>416</v>
      </c>
      <c r="D28" s="455"/>
      <c r="E28" s="456"/>
      <c r="F28" s="446"/>
      <c r="G28" s="447"/>
    </row>
    <row r="29" spans="2:7" x14ac:dyDescent="0.25">
      <c r="B29" s="555"/>
      <c r="C29" s="454"/>
      <c r="D29" s="455"/>
      <c r="E29" s="456"/>
      <c r="F29" s="457"/>
      <c r="G29" s="458"/>
    </row>
    <row r="30" spans="2:7" x14ac:dyDescent="0.25">
      <c r="B30" s="555"/>
      <c r="C30" s="454"/>
      <c r="D30" s="455"/>
      <c r="E30" s="456"/>
      <c r="F30" s="446"/>
      <c r="G30" s="447"/>
    </row>
    <row r="31" spans="2:7" x14ac:dyDescent="0.25">
      <c r="B31" s="555"/>
      <c r="C31" s="454"/>
      <c r="D31" s="455"/>
      <c r="E31" s="456"/>
      <c r="F31" s="446"/>
      <c r="G31" s="447"/>
    </row>
    <row r="32" spans="2:7" x14ac:dyDescent="0.25">
      <c r="B32" s="555"/>
      <c r="C32" s="454"/>
      <c r="D32" s="455"/>
      <c r="E32" s="456"/>
      <c r="F32" s="444"/>
      <c r="G32" s="445"/>
    </row>
    <row r="33" spans="2:7" x14ac:dyDescent="0.25">
      <c r="B33" s="555"/>
      <c r="C33" s="454"/>
      <c r="D33" s="455"/>
      <c r="E33" s="456"/>
      <c r="F33" s="446"/>
      <c r="G33" s="447"/>
    </row>
    <row r="34" spans="2:7" ht="15.75" thickBot="1" x14ac:dyDescent="0.3">
      <c r="B34" s="555"/>
      <c r="C34" s="472"/>
      <c r="D34" s="473"/>
      <c r="E34" s="474"/>
      <c r="F34" s="475"/>
      <c r="G34" s="476"/>
    </row>
    <row r="35" spans="2:7" ht="15.75" thickBot="1" x14ac:dyDescent="0.3">
      <c r="B35" s="477"/>
      <c r="C35" s="478"/>
      <c r="D35" s="478"/>
      <c r="E35" s="478"/>
      <c r="F35" s="478"/>
      <c r="G35" s="479"/>
    </row>
    <row r="36" spans="2:7" ht="15.75" x14ac:dyDescent="0.25">
      <c r="B36" s="480" t="s">
        <v>93</v>
      </c>
      <c r="C36" s="482" t="str">
        <f>'Intake Form'!C69</f>
        <v>CloudMed</v>
      </c>
      <c r="D36" s="482"/>
      <c r="E36" s="482"/>
      <c r="F36" s="484" t="s">
        <v>350</v>
      </c>
      <c r="G36" s="485"/>
    </row>
    <row r="37" spans="2:7" x14ac:dyDescent="0.25">
      <c r="B37" s="481"/>
      <c r="C37" s="483"/>
      <c r="D37" s="483"/>
      <c r="E37" s="483"/>
      <c r="F37" s="486"/>
      <c r="G37" s="487"/>
    </row>
    <row r="38" spans="2:7" x14ac:dyDescent="0.25">
      <c r="B38" s="481" t="s">
        <v>95</v>
      </c>
      <c r="C38" s="507" t="s">
        <v>393</v>
      </c>
      <c r="D38" s="507"/>
      <c r="E38" s="507"/>
      <c r="F38" s="486"/>
      <c r="G38" s="487"/>
    </row>
    <row r="39" spans="2:7" x14ac:dyDescent="0.25">
      <c r="B39" s="481"/>
      <c r="C39" s="507"/>
      <c r="D39" s="507"/>
      <c r="E39" s="507"/>
      <c r="F39" s="486"/>
      <c r="G39" s="487"/>
    </row>
    <row r="40" spans="2:7" ht="31.5" x14ac:dyDescent="0.25">
      <c r="B40" s="210" t="s">
        <v>97</v>
      </c>
      <c r="C40" s="514" t="s">
        <v>109</v>
      </c>
      <c r="D40" s="515"/>
      <c r="E40" s="516"/>
      <c r="F40" s="514" t="s">
        <v>110</v>
      </c>
      <c r="G40" s="516"/>
    </row>
    <row r="41" spans="2:7" ht="15.75" x14ac:dyDescent="0.25">
      <c r="B41" s="211" t="s">
        <v>111</v>
      </c>
      <c r="C41" s="488" t="s">
        <v>392</v>
      </c>
      <c r="D41" s="517"/>
      <c r="E41" s="518"/>
      <c r="F41" s="488"/>
      <c r="G41" s="489"/>
    </row>
    <row r="42" spans="2:7" ht="15.75" x14ac:dyDescent="0.25">
      <c r="B42" s="211" t="s">
        <v>112</v>
      </c>
      <c r="C42" s="488"/>
      <c r="D42" s="517"/>
      <c r="E42" s="518"/>
      <c r="F42" s="488"/>
      <c r="G42" s="489"/>
    </row>
    <row r="43" spans="2:7" ht="15.75" x14ac:dyDescent="0.25">
      <c r="B43" s="211" t="s">
        <v>113</v>
      </c>
      <c r="C43" s="472"/>
      <c r="D43" s="473"/>
      <c r="E43" s="474"/>
      <c r="F43" s="472"/>
      <c r="G43" s="519"/>
    </row>
    <row r="44" spans="2:7" ht="99.6" customHeight="1" thickBot="1" x14ac:dyDescent="0.3">
      <c r="B44" s="211"/>
      <c r="C44" s="490"/>
      <c r="D44" s="491"/>
      <c r="E44" s="492"/>
      <c r="F44" s="490"/>
      <c r="G44" s="520"/>
    </row>
    <row r="45" spans="2:7" ht="15.75" thickBot="1" x14ac:dyDescent="0.3">
      <c r="B45" s="212"/>
      <c r="C45" s="213"/>
      <c r="D45" s="213"/>
      <c r="E45" s="213"/>
      <c r="F45" s="213"/>
      <c r="G45" s="214"/>
    </row>
    <row r="46" spans="2:7" ht="15.75" x14ac:dyDescent="0.25">
      <c r="B46" s="496" t="s">
        <v>98</v>
      </c>
      <c r="C46" s="497"/>
      <c r="D46" s="498"/>
      <c r="E46" s="498"/>
      <c r="F46" s="498"/>
      <c r="G46" s="499"/>
    </row>
    <row r="47" spans="2:7" x14ac:dyDescent="0.25">
      <c r="B47" s="480" t="s">
        <v>9</v>
      </c>
      <c r="C47" s="100"/>
      <c r="D47" s="101"/>
      <c r="E47" s="101"/>
      <c r="F47" s="101"/>
      <c r="G47" s="102"/>
    </row>
    <row r="48" spans="2:7" x14ac:dyDescent="0.25">
      <c r="B48" s="521"/>
      <c r="C48" s="219" t="s">
        <v>100</v>
      </c>
      <c r="D48" s="448"/>
      <c r="E48" s="449"/>
      <c r="F48" s="449"/>
      <c r="G48" s="450"/>
    </row>
    <row r="49" spans="2:7" x14ac:dyDescent="0.25">
      <c r="B49" s="521"/>
      <c r="C49" s="219"/>
      <c r="D49" s="451"/>
      <c r="E49" s="452"/>
      <c r="F49" s="452"/>
      <c r="G49" s="453"/>
    </row>
    <row r="50" spans="2:7" x14ac:dyDescent="0.25">
      <c r="B50" s="521"/>
      <c r="C50" s="219" t="s">
        <v>104</v>
      </c>
      <c r="D50" s="460" t="str">
        <f>'Intake Form'!L7</f>
        <v>Underpays, D. Lauten; DRG Val, G. DiCrocco</v>
      </c>
      <c r="E50" s="461"/>
      <c r="F50" s="461"/>
      <c r="G50" s="462"/>
    </row>
    <row r="51" spans="2:7" x14ac:dyDescent="0.25">
      <c r="B51" s="521"/>
      <c r="C51" s="219"/>
      <c r="D51" s="463"/>
      <c r="E51" s="464"/>
      <c r="F51" s="464"/>
      <c r="G51" s="465"/>
    </row>
    <row r="52" spans="2:7" x14ac:dyDescent="0.25">
      <c r="B52" s="521"/>
      <c r="C52" s="219" t="s">
        <v>105</v>
      </c>
      <c r="D52" s="466"/>
      <c r="E52" s="467"/>
      <c r="F52" s="467"/>
      <c r="G52" s="468"/>
    </row>
    <row r="53" spans="2:7" x14ac:dyDescent="0.25">
      <c r="B53" s="521"/>
      <c r="C53" s="220"/>
      <c r="D53" s="469"/>
      <c r="E53" s="470"/>
      <c r="F53" s="470"/>
      <c r="G53" s="471"/>
    </row>
    <row r="54" spans="2:7" x14ac:dyDescent="0.25">
      <c r="B54" s="508" t="s">
        <v>374</v>
      </c>
      <c r="C54" s="103"/>
      <c r="D54" s="510"/>
      <c r="E54" s="510"/>
      <c r="F54" s="510"/>
      <c r="G54" s="511"/>
    </row>
    <row r="55" spans="2:7" x14ac:dyDescent="0.25">
      <c r="B55" s="508"/>
      <c r="C55" s="100"/>
      <c r="D55" s="512"/>
      <c r="E55" s="512"/>
      <c r="F55" s="512"/>
      <c r="G55" s="513"/>
    </row>
    <row r="56" spans="2:7" x14ac:dyDescent="0.25">
      <c r="B56" s="508"/>
      <c r="C56" s="219" t="s">
        <v>100</v>
      </c>
      <c r="D56" s="448"/>
      <c r="E56" s="449"/>
      <c r="F56" s="449"/>
      <c r="G56" s="450"/>
    </row>
    <row r="57" spans="2:7" x14ac:dyDescent="0.25">
      <c r="B57" s="508"/>
      <c r="C57" s="219"/>
      <c r="D57" s="451"/>
      <c r="E57" s="452"/>
      <c r="F57" s="452"/>
      <c r="G57" s="453"/>
    </row>
    <row r="58" spans="2:7" x14ac:dyDescent="0.25">
      <c r="B58" s="508"/>
      <c r="C58" s="219" t="s">
        <v>104</v>
      </c>
      <c r="D58" s="460" t="str">
        <f>'Intake Form'!L8</f>
        <v>Robert Oliver</v>
      </c>
      <c r="E58" s="461"/>
      <c r="F58" s="461"/>
      <c r="G58" s="462"/>
    </row>
    <row r="59" spans="2:7" x14ac:dyDescent="0.25">
      <c r="B59" s="508"/>
      <c r="C59" s="219"/>
      <c r="D59" s="463"/>
      <c r="E59" s="464"/>
      <c r="F59" s="464"/>
      <c r="G59" s="465"/>
    </row>
    <row r="60" spans="2:7" x14ac:dyDescent="0.25">
      <c r="B60" s="508"/>
      <c r="C60" s="219" t="s">
        <v>105</v>
      </c>
      <c r="D60" s="466"/>
      <c r="E60" s="467"/>
      <c r="F60" s="467"/>
      <c r="G60" s="468"/>
    </row>
    <row r="61" spans="2:7" ht="15.75" thickBot="1" x14ac:dyDescent="0.3">
      <c r="B61" s="509"/>
      <c r="C61" s="221"/>
      <c r="D61" s="504"/>
      <c r="E61" s="505"/>
      <c r="F61" s="505"/>
      <c r="G61" s="506"/>
    </row>
    <row r="65" ht="54" customHeight="1" x14ac:dyDescent="0.25"/>
    <row r="66" ht="67.5" customHeight="1" x14ac:dyDescent="0.25"/>
    <row r="67" ht="63.75" customHeight="1" x14ac:dyDescent="0.25"/>
    <row r="71" ht="15" customHeight="1" x14ac:dyDescent="0.25"/>
    <row r="76" ht="15" customHeight="1" x14ac:dyDescent="0.25"/>
    <row r="83" ht="15" customHeight="1" x14ac:dyDescent="0.25"/>
    <row r="88" ht="15" customHeight="1" x14ac:dyDescent="0.25"/>
    <row r="95" ht="18.75" customHeight="1" x14ac:dyDescent="0.25"/>
    <row r="97" ht="15" customHeight="1" x14ac:dyDescent="0.25"/>
  </sheetData>
  <sheetProtection algorithmName="SHA-512" hashValue="mr8BNJftOREHLO0dRSp3noTFlsU9nhNVVOOV6H+7uhdIDVW5dtHJ8c1SACm5tk5L1bWUWVRDVMJDvYD3JAplqw==" saltValue="uRfM4YDm8XPQC6x+Sdeweg==" spinCount="100000" sheet="1" objects="1" scenarios="1"/>
  <mergeCells count="91">
    <mergeCell ref="B9:B14"/>
    <mergeCell ref="F31:G31"/>
    <mergeCell ref="C32:E32"/>
    <mergeCell ref="C33:E33"/>
    <mergeCell ref="F33:G33"/>
    <mergeCell ref="B15:B34"/>
    <mergeCell ref="C16:E16"/>
    <mergeCell ref="F16:G16"/>
    <mergeCell ref="C17:E17"/>
    <mergeCell ref="F17:G17"/>
    <mergeCell ref="C27:E27"/>
    <mergeCell ref="F27:G27"/>
    <mergeCell ref="C28:E28"/>
    <mergeCell ref="F28:G28"/>
    <mergeCell ref="C29:E29"/>
    <mergeCell ref="F18:G18"/>
    <mergeCell ref="B1:G1"/>
    <mergeCell ref="C2:D2"/>
    <mergeCell ref="F2:G2"/>
    <mergeCell ref="C3:D3"/>
    <mergeCell ref="F3:G3"/>
    <mergeCell ref="C5:G5"/>
    <mergeCell ref="C6:G6"/>
    <mergeCell ref="C7:G7"/>
    <mergeCell ref="F30:G30"/>
    <mergeCell ref="C9:E9"/>
    <mergeCell ref="C10:E10"/>
    <mergeCell ref="C11:E11"/>
    <mergeCell ref="C12:E12"/>
    <mergeCell ref="C13:E13"/>
    <mergeCell ref="C14:E14"/>
    <mergeCell ref="F9:G9"/>
    <mergeCell ref="F10:G10"/>
    <mergeCell ref="F11:G11"/>
    <mergeCell ref="F12:G12"/>
    <mergeCell ref="C15:E15"/>
    <mergeCell ref="F15:G15"/>
    <mergeCell ref="D60:G61"/>
    <mergeCell ref="B38:B39"/>
    <mergeCell ref="C38:E39"/>
    <mergeCell ref="F38:G38"/>
    <mergeCell ref="F39:G39"/>
    <mergeCell ref="B54:B61"/>
    <mergeCell ref="D54:G55"/>
    <mergeCell ref="D56:G57"/>
    <mergeCell ref="D58:G59"/>
    <mergeCell ref="C40:E40"/>
    <mergeCell ref="F40:G40"/>
    <mergeCell ref="C41:E41"/>
    <mergeCell ref="C42:E42"/>
    <mergeCell ref="F41:G41"/>
    <mergeCell ref="F43:G44"/>
    <mergeCell ref="B47:B53"/>
    <mergeCell ref="B4:G4"/>
    <mergeCell ref="B8:G8"/>
    <mergeCell ref="B46:G46"/>
    <mergeCell ref="F32:G32"/>
    <mergeCell ref="C30:E30"/>
    <mergeCell ref="F13:G13"/>
    <mergeCell ref="F14:G14"/>
    <mergeCell ref="F21:G21"/>
    <mergeCell ref="C18:E18"/>
    <mergeCell ref="C19:E19"/>
    <mergeCell ref="C20:E20"/>
    <mergeCell ref="C21:E21"/>
    <mergeCell ref="C25:E25"/>
    <mergeCell ref="C26:E26"/>
    <mergeCell ref="F29:G29"/>
    <mergeCell ref="C31:E31"/>
    <mergeCell ref="D50:G51"/>
    <mergeCell ref="D52:G53"/>
    <mergeCell ref="C34:E34"/>
    <mergeCell ref="F34:G34"/>
    <mergeCell ref="B35:G35"/>
    <mergeCell ref="B36:B37"/>
    <mergeCell ref="C36:E37"/>
    <mergeCell ref="F36:G36"/>
    <mergeCell ref="F37:G37"/>
    <mergeCell ref="F42:G42"/>
    <mergeCell ref="C43:E44"/>
    <mergeCell ref="F19:G19"/>
    <mergeCell ref="F20:G20"/>
    <mergeCell ref="F25:G25"/>
    <mergeCell ref="F26:G26"/>
    <mergeCell ref="D48:G49"/>
    <mergeCell ref="C22:E22"/>
    <mergeCell ref="C23:E23"/>
    <mergeCell ref="C24:E24"/>
    <mergeCell ref="F22:G22"/>
    <mergeCell ref="F23:G23"/>
    <mergeCell ref="F24:G24"/>
  </mergeCells>
  <pageMargins left="0.25" right="0.25" top="0.5" bottom="0.5" header="0.3" footer="0.3"/>
  <pageSetup scale="65" orientation="portrait" r:id="rId1"/>
  <rowBreaks count="1" manualBreakCount="1">
    <brk id="61"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pageSetUpPr fitToPage="1"/>
  </sheetPr>
  <dimension ref="A1:J49"/>
  <sheetViews>
    <sheetView showGridLines="0" zoomScale="80" zoomScaleNormal="80" workbookViewId="0">
      <selection activeCell="E15" sqref="E15:J19"/>
    </sheetView>
  </sheetViews>
  <sheetFormatPr defaultRowHeight="15" x14ac:dyDescent="0.25"/>
  <cols>
    <col min="1" max="1" width="9.140625" style="99"/>
    <col min="2" max="2" width="27.140625" style="99" customWidth="1"/>
    <col min="3" max="3" width="36.85546875" style="99" customWidth="1"/>
    <col min="4" max="4" width="9.140625" style="99"/>
    <col min="5" max="5" width="17.28515625" style="99" customWidth="1"/>
    <col min="6" max="6" width="42.5703125" style="99" customWidth="1"/>
    <col min="7" max="8" width="9.140625" style="99"/>
    <col min="9" max="9" width="14.140625" style="99" customWidth="1"/>
    <col min="10" max="10" width="31.5703125" style="99" customWidth="1"/>
  </cols>
  <sheetData>
    <row r="1" spans="1:10" ht="18" x14ac:dyDescent="0.25">
      <c r="A1" s="598"/>
      <c r="B1" s="599"/>
      <c r="C1" s="599"/>
      <c r="D1" s="599"/>
      <c r="E1" s="599"/>
      <c r="F1" s="599"/>
      <c r="G1" s="599"/>
      <c r="H1" s="599"/>
      <c r="I1" s="599"/>
      <c r="J1" s="600"/>
    </row>
    <row r="2" spans="1:10" ht="15.75" thickBot="1" x14ac:dyDescent="0.3">
      <c r="A2" s="114"/>
      <c r="B2" s="601"/>
      <c r="C2" s="601"/>
      <c r="D2" s="601"/>
      <c r="E2" s="601"/>
      <c r="F2" s="601"/>
      <c r="G2" s="601"/>
      <c r="H2" s="601"/>
      <c r="I2" s="601"/>
      <c r="J2" s="602"/>
    </row>
    <row r="3" spans="1:10" ht="16.5" thickBot="1" x14ac:dyDescent="0.3">
      <c r="A3" s="603" t="s">
        <v>70</v>
      </c>
      <c r="B3" s="604"/>
      <c r="C3" s="605"/>
      <c r="D3" s="115"/>
      <c r="E3" s="115"/>
      <c r="F3" s="115"/>
      <c r="G3" s="115"/>
      <c r="H3" s="115"/>
      <c r="I3" s="115"/>
      <c r="J3" s="116"/>
    </row>
    <row r="4" spans="1:10" ht="55.5" customHeight="1" x14ac:dyDescent="0.25">
      <c r="A4" s="558" t="s">
        <v>353</v>
      </c>
      <c r="B4" s="559"/>
      <c r="C4" s="560"/>
      <c r="D4" s="115"/>
      <c r="E4" s="610" t="s">
        <v>394</v>
      </c>
      <c r="F4" s="611"/>
      <c r="G4" s="611"/>
      <c r="H4" s="611"/>
      <c r="I4" s="611"/>
      <c r="J4" s="612"/>
    </row>
    <row r="5" spans="1:10" ht="74.25" customHeight="1" x14ac:dyDescent="0.25">
      <c r="A5" s="561" t="s">
        <v>354</v>
      </c>
      <c r="B5" s="562"/>
      <c r="C5" s="563"/>
      <c r="D5" s="115"/>
      <c r="E5" s="613" t="s">
        <v>395</v>
      </c>
      <c r="F5" s="507"/>
      <c r="G5" s="507"/>
      <c r="H5" s="507"/>
      <c r="I5" s="507"/>
      <c r="J5" s="572"/>
    </row>
    <row r="6" spans="1:10" ht="75" customHeight="1" thickBot="1" x14ac:dyDescent="0.3">
      <c r="A6" s="561" t="s">
        <v>355</v>
      </c>
      <c r="B6" s="562"/>
      <c r="C6" s="563"/>
      <c r="D6" s="115"/>
      <c r="E6" s="576" t="s">
        <v>396</v>
      </c>
      <c r="F6" s="577"/>
      <c r="G6" s="577"/>
      <c r="H6" s="577"/>
      <c r="I6" s="577"/>
      <c r="J6" s="578"/>
    </row>
    <row r="7" spans="1:10" ht="15.75" thickBot="1" x14ac:dyDescent="0.3">
      <c r="A7" s="114"/>
      <c r="B7" s="115"/>
      <c r="C7" s="115"/>
      <c r="D7" s="115"/>
      <c r="E7" s="579"/>
      <c r="F7" s="579"/>
      <c r="G7" s="579"/>
      <c r="H7" s="579"/>
      <c r="I7" s="579"/>
      <c r="J7" s="580"/>
    </row>
    <row r="8" spans="1:10" x14ac:dyDescent="0.25">
      <c r="A8" s="592" t="s">
        <v>82</v>
      </c>
      <c r="B8" s="593"/>
      <c r="C8" s="594"/>
      <c r="D8" s="115"/>
      <c r="E8" s="579"/>
      <c r="F8" s="579"/>
      <c r="G8" s="579"/>
      <c r="H8" s="579"/>
      <c r="I8" s="579"/>
      <c r="J8" s="580"/>
    </row>
    <row r="9" spans="1:10" ht="15.75" thickBot="1" x14ac:dyDescent="0.3">
      <c r="A9" s="595"/>
      <c r="B9" s="596"/>
      <c r="C9" s="597"/>
      <c r="D9" s="115"/>
      <c r="E9" s="579"/>
      <c r="F9" s="579"/>
      <c r="G9" s="579"/>
      <c r="H9" s="579"/>
      <c r="I9" s="579"/>
      <c r="J9" s="580"/>
    </row>
    <row r="10" spans="1:10" x14ac:dyDescent="0.25">
      <c r="A10" s="564" t="s">
        <v>83</v>
      </c>
      <c r="B10" s="565"/>
      <c r="C10" s="566"/>
      <c r="D10" s="117"/>
      <c r="E10" s="610" t="s">
        <v>378</v>
      </c>
      <c r="F10" s="611"/>
      <c r="G10" s="611"/>
      <c r="H10" s="611"/>
      <c r="I10" s="611"/>
      <c r="J10" s="612"/>
    </row>
    <row r="11" spans="1:10" x14ac:dyDescent="0.25">
      <c r="A11" s="564"/>
      <c r="B11" s="565"/>
      <c r="C11" s="566"/>
      <c r="D11" s="117"/>
      <c r="E11" s="613"/>
      <c r="F11" s="507"/>
      <c r="G11" s="507"/>
      <c r="H11" s="507"/>
      <c r="I11" s="507"/>
      <c r="J11" s="572"/>
    </row>
    <row r="12" spans="1:10" x14ac:dyDescent="0.25">
      <c r="A12" s="564"/>
      <c r="B12" s="565"/>
      <c r="C12" s="566"/>
      <c r="D12" s="117"/>
      <c r="E12" s="613"/>
      <c r="F12" s="507"/>
      <c r="G12" s="507"/>
      <c r="H12" s="507"/>
      <c r="I12" s="507"/>
      <c r="J12" s="572"/>
    </row>
    <row r="13" spans="1:10" x14ac:dyDescent="0.25">
      <c r="A13" s="564"/>
      <c r="B13" s="565"/>
      <c r="C13" s="566"/>
      <c r="D13" s="117"/>
      <c r="E13" s="613"/>
      <c r="F13" s="507"/>
      <c r="G13" s="507"/>
      <c r="H13" s="507"/>
      <c r="I13" s="507"/>
      <c r="J13" s="572"/>
    </row>
    <row r="14" spans="1:10" x14ac:dyDescent="0.25">
      <c r="A14" s="567"/>
      <c r="B14" s="568"/>
      <c r="C14" s="569"/>
      <c r="D14" s="117"/>
      <c r="E14" s="613"/>
      <c r="F14" s="507"/>
      <c r="G14" s="507"/>
      <c r="H14" s="507"/>
      <c r="I14" s="507"/>
      <c r="J14" s="572"/>
    </row>
    <row r="15" spans="1:10" x14ac:dyDescent="0.25">
      <c r="A15" s="573" t="s">
        <v>88</v>
      </c>
      <c r="B15" s="574"/>
      <c r="C15" s="575"/>
      <c r="D15" s="117"/>
      <c r="E15" s="613" t="s">
        <v>404</v>
      </c>
      <c r="F15" s="507"/>
      <c r="G15" s="507"/>
      <c r="H15" s="507"/>
      <c r="I15" s="507"/>
      <c r="J15" s="572"/>
    </row>
    <row r="16" spans="1:10" x14ac:dyDescent="0.25">
      <c r="A16" s="564"/>
      <c r="B16" s="565"/>
      <c r="C16" s="566"/>
      <c r="D16" s="117"/>
      <c r="E16" s="613"/>
      <c r="F16" s="507"/>
      <c r="G16" s="507"/>
      <c r="H16" s="507"/>
      <c r="I16" s="507"/>
      <c r="J16" s="572"/>
    </row>
    <row r="17" spans="1:10" x14ac:dyDescent="0.25">
      <c r="A17" s="564"/>
      <c r="B17" s="565"/>
      <c r="C17" s="566"/>
      <c r="D17" s="117"/>
      <c r="E17" s="613"/>
      <c r="F17" s="507"/>
      <c r="G17" s="507"/>
      <c r="H17" s="507"/>
      <c r="I17" s="507"/>
      <c r="J17" s="572"/>
    </row>
    <row r="18" spans="1:10" x14ac:dyDescent="0.25">
      <c r="A18" s="564"/>
      <c r="B18" s="565"/>
      <c r="C18" s="566"/>
      <c r="D18" s="117"/>
      <c r="E18" s="613"/>
      <c r="F18" s="507"/>
      <c r="G18" s="507"/>
      <c r="H18" s="507"/>
      <c r="I18" s="507"/>
      <c r="J18" s="572"/>
    </row>
    <row r="19" spans="1:10" ht="15.75" thickBot="1" x14ac:dyDescent="0.3">
      <c r="A19" s="564"/>
      <c r="B19" s="565"/>
      <c r="C19" s="566"/>
      <c r="D19" s="117"/>
      <c r="E19" s="576"/>
      <c r="F19" s="577"/>
      <c r="G19" s="577"/>
      <c r="H19" s="577"/>
      <c r="I19" s="577"/>
      <c r="J19" s="578"/>
    </row>
    <row r="20" spans="1:10" x14ac:dyDescent="0.25">
      <c r="A20" s="592" t="s">
        <v>91</v>
      </c>
      <c r="B20" s="593"/>
      <c r="C20" s="594"/>
      <c r="D20" s="115"/>
      <c r="E20" s="579"/>
      <c r="F20" s="579"/>
      <c r="G20" s="579"/>
      <c r="H20" s="579"/>
      <c r="I20" s="579"/>
      <c r="J20" s="580"/>
    </row>
    <row r="21" spans="1:10" ht="15.75" thickBot="1" x14ac:dyDescent="0.3">
      <c r="A21" s="595"/>
      <c r="B21" s="596"/>
      <c r="C21" s="597"/>
      <c r="D21" s="115"/>
      <c r="E21" s="579"/>
      <c r="F21" s="579"/>
      <c r="G21" s="579"/>
      <c r="H21" s="579"/>
      <c r="I21" s="579"/>
      <c r="J21" s="580"/>
    </row>
    <row r="22" spans="1:10" x14ac:dyDescent="0.25">
      <c r="A22" s="606" t="s">
        <v>356</v>
      </c>
      <c r="B22" s="607"/>
      <c r="C22" s="584"/>
      <c r="D22" s="117"/>
      <c r="E22" s="610" t="s">
        <v>397</v>
      </c>
      <c r="F22" s="611"/>
      <c r="G22" s="611"/>
      <c r="H22" s="611"/>
      <c r="I22" s="611"/>
      <c r="J22" s="612"/>
    </row>
    <row r="23" spans="1:10" x14ac:dyDescent="0.25">
      <c r="A23" s="606"/>
      <c r="B23" s="607"/>
      <c r="C23" s="584"/>
      <c r="D23" s="117"/>
      <c r="E23" s="613"/>
      <c r="F23" s="507"/>
      <c r="G23" s="507"/>
      <c r="H23" s="507"/>
      <c r="I23" s="507"/>
      <c r="J23" s="572"/>
    </row>
    <row r="24" spans="1:10" x14ac:dyDescent="0.25">
      <c r="A24" s="606"/>
      <c r="B24" s="607"/>
      <c r="C24" s="584"/>
      <c r="D24" s="117"/>
      <c r="E24" s="613"/>
      <c r="F24" s="507"/>
      <c r="G24" s="507"/>
      <c r="H24" s="507"/>
      <c r="I24" s="507"/>
      <c r="J24" s="572"/>
    </row>
    <row r="25" spans="1:10" x14ac:dyDescent="0.25">
      <c r="A25" s="606"/>
      <c r="B25" s="607"/>
      <c r="C25" s="584"/>
      <c r="D25" s="117"/>
      <c r="E25" s="613"/>
      <c r="F25" s="507"/>
      <c r="G25" s="507"/>
      <c r="H25" s="507"/>
      <c r="I25" s="507"/>
      <c r="J25" s="572"/>
    </row>
    <row r="26" spans="1:10" x14ac:dyDescent="0.25">
      <c r="A26" s="558"/>
      <c r="B26" s="559"/>
      <c r="C26" s="560"/>
      <c r="D26" s="117"/>
      <c r="E26" s="613"/>
      <c r="F26" s="507"/>
      <c r="G26" s="507"/>
      <c r="H26" s="507"/>
      <c r="I26" s="507"/>
      <c r="J26" s="572"/>
    </row>
    <row r="27" spans="1:10" x14ac:dyDescent="0.25">
      <c r="A27" s="608" t="s">
        <v>357</v>
      </c>
      <c r="B27" s="609"/>
      <c r="C27" s="582"/>
      <c r="D27" s="117"/>
      <c r="E27" s="613" t="s">
        <v>398</v>
      </c>
      <c r="F27" s="507"/>
      <c r="G27" s="507"/>
      <c r="H27" s="507"/>
      <c r="I27" s="507"/>
      <c r="J27" s="572"/>
    </row>
    <row r="28" spans="1:10" x14ac:dyDescent="0.25">
      <c r="A28" s="606"/>
      <c r="B28" s="607"/>
      <c r="C28" s="584"/>
      <c r="D28" s="117"/>
      <c r="E28" s="613"/>
      <c r="F28" s="507"/>
      <c r="G28" s="507"/>
      <c r="H28" s="507"/>
      <c r="I28" s="507"/>
      <c r="J28" s="572"/>
    </row>
    <row r="29" spans="1:10" x14ac:dyDescent="0.25">
      <c r="A29" s="606"/>
      <c r="B29" s="607"/>
      <c r="C29" s="584"/>
      <c r="D29" s="117"/>
      <c r="E29" s="613"/>
      <c r="F29" s="507"/>
      <c r="G29" s="507"/>
      <c r="H29" s="507"/>
      <c r="I29" s="507"/>
      <c r="J29" s="572"/>
    </row>
    <row r="30" spans="1:10" x14ac:dyDescent="0.25">
      <c r="A30" s="606"/>
      <c r="B30" s="607"/>
      <c r="C30" s="584"/>
      <c r="D30" s="117"/>
      <c r="E30" s="613"/>
      <c r="F30" s="507"/>
      <c r="G30" s="507"/>
      <c r="H30" s="507"/>
      <c r="I30" s="507"/>
      <c r="J30" s="572"/>
    </row>
    <row r="31" spans="1:10" x14ac:dyDescent="0.25">
      <c r="A31" s="606"/>
      <c r="B31" s="607"/>
      <c r="C31" s="584"/>
      <c r="D31" s="117"/>
      <c r="E31" s="613"/>
      <c r="F31" s="507"/>
      <c r="G31" s="507"/>
      <c r="H31" s="507"/>
      <c r="I31" s="507"/>
      <c r="J31" s="572"/>
    </row>
    <row r="32" spans="1:10" x14ac:dyDescent="0.25">
      <c r="A32" s="606"/>
      <c r="B32" s="607"/>
      <c r="C32" s="584"/>
      <c r="D32" s="117"/>
      <c r="E32" s="613"/>
      <c r="F32" s="507"/>
      <c r="G32" s="507"/>
      <c r="H32" s="507"/>
      <c r="I32" s="507"/>
      <c r="J32" s="572"/>
    </row>
    <row r="33" spans="1:10" ht="15.75" thickBot="1" x14ac:dyDescent="0.3">
      <c r="A33" s="606"/>
      <c r="B33" s="607"/>
      <c r="C33" s="584"/>
      <c r="D33" s="117"/>
      <c r="E33" s="576"/>
      <c r="F33" s="577"/>
      <c r="G33" s="577"/>
      <c r="H33" s="577"/>
      <c r="I33" s="577"/>
      <c r="J33" s="578"/>
    </row>
    <row r="34" spans="1:10" x14ac:dyDescent="0.25">
      <c r="A34" s="592" t="s">
        <v>345</v>
      </c>
      <c r="B34" s="593"/>
      <c r="C34" s="594"/>
      <c r="D34" s="117"/>
      <c r="E34" s="117"/>
      <c r="F34" s="117"/>
      <c r="G34" s="117"/>
      <c r="H34" s="117"/>
      <c r="I34" s="117"/>
      <c r="J34" s="121"/>
    </row>
    <row r="35" spans="1:10" ht="15.75" thickBot="1" x14ac:dyDescent="0.3">
      <c r="A35" s="595"/>
      <c r="B35" s="596"/>
      <c r="C35" s="597"/>
      <c r="D35" s="117"/>
      <c r="E35" s="117"/>
      <c r="F35" s="117"/>
      <c r="G35" s="119"/>
      <c r="H35" s="104"/>
      <c r="I35" s="104"/>
      <c r="J35" s="105"/>
    </row>
    <row r="36" spans="1:10" x14ac:dyDescent="0.25">
      <c r="A36" s="606" t="s">
        <v>358</v>
      </c>
      <c r="B36" s="607"/>
      <c r="C36" s="584"/>
      <c r="D36" s="117"/>
      <c r="E36" s="581" t="s">
        <v>359</v>
      </c>
      <c r="F36" s="582"/>
      <c r="G36" s="119"/>
      <c r="H36" s="570" t="s">
        <v>103</v>
      </c>
      <c r="I36" s="570"/>
      <c r="J36" s="571"/>
    </row>
    <row r="37" spans="1:10" x14ac:dyDescent="0.25">
      <c r="A37" s="606"/>
      <c r="B37" s="607"/>
      <c r="C37" s="584"/>
      <c r="D37" s="117"/>
      <c r="E37" s="583"/>
      <c r="F37" s="584"/>
      <c r="G37" s="119"/>
      <c r="H37" s="570"/>
      <c r="I37" s="570"/>
      <c r="J37" s="571"/>
    </row>
    <row r="38" spans="1:10" x14ac:dyDescent="0.25">
      <c r="A38" s="606"/>
      <c r="B38" s="607"/>
      <c r="C38" s="584"/>
      <c r="D38" s="117"/>
      <c r="E38" s="583"/>
      <c r="F38" s="584"/>
      <c r="G38" s="119"/>
      <c r="H38" s="507" t="s">
        <v>401</v>
      </c>
      <c r="I38" s="507"/>
      <c r="J38" s="572"/>
    </row>
    <row r="39" spans="1:10" x14ac:dyDescent="0.25">
      <c r="A39" s="558"/>
      <c r="B39" s="559"/>
      <c r="C39" s="560"/>
      <c r="D39" s="117"/>
      <c r="E39" s="585"/>
      <c r="F39" s="560"/>
      <c r="G39" s="119"/>
      <c r="H39" s="507"/>
      <c r="I39" s="507"/>
      <c r="J39" s="572"/>
    </row>
    <row r="40" spans="1:10" x14ac:dyDescent="0.25">
      <c r="A40" s="588" t="s">
        <v>399</v>
      </c>
      <c r="B40" s="473"/>
      <c r="C40" s="474"/>
      <c r="D40" s="117"/>
      <c r="E40" s="472" t="s">
        <v>400</v>
      </c>
      <c r="F40" s="474"/>
      <c r="G40" s="119"/>
      <c r="H40" s="507" t="s">
        <v>402</v>
      </c>
      <c r="I40" s="507"/>
      <c r="J40" s="572"/>
    </row>
    <row r="41" spans="1:10" x14ac:dyDescent="0.25">
      <c r="A41" s="589"/>
      <c r="B41" s="491"/>
      <c r="C41" s="492"/>
      <c r="D41" s="117"/>
      <c r="E41" s="490"/>
      <c r="F41" s="492"/>
      <c r="G41" s="119"/>
      <c r="H41" s="507"/>
      <c r="I41" s="507"/>
      <c r="J41" s="572"/>
    </row>
    <row r="42" spans="1:10" x14ac:dyDescent="0.25">
      <c r="A42" s="589"/>
      <c r="B42" s="491"/>
      <c r="C42" s="492"/>
      <c r="D42" s="117"/>
      <c r="E42" s="490"/>
      <c r="F42" s="492"/>
      <c r="G42" s="119"/>
      <c r="H42" s="507" t="s">
        <v>403</v>
      </c>
      <c r="I42" s="507"/>
      <c r="J42" s="572"/>
    </row>
    <row r="43" spans="1:10" x14ac:dyDescent="0.25">
      <c r="A43" s="589"/>
      <c r="B43" s="491"/>
      <c r="C43" s="492"/>
      <c r="D43" s="117"/>
      <c r="E43" s="490"/>
      <c r="F43" s="492"/>
      <c r="G43" s="119"/>
      <c r="H43" s="507"/>
      <c r="I43" s="507"/>
      <c r="J43" s="572"/>
    </row>
    <row r="44" spans="1:10" x14ac:dyDescent="0.25">
      <c r="A44" s="589"/>
      <c r="B44" s="491"/>
      <c r="C44" s="492"/>
      <c r="D44" s="117"/>
      <c r="E44" s="490"/>
      <c r="F44" s="492"/>
      <c r="G44" s="119"/>
      <c r="H44" s="507"/>
      <c r="I44" s="507"/>
      <c r="J44" s="572"/>
    </row>
    <row r="45" spans="1:10" x14ac:dyDescent="0.25">
      <c r="A45" s="589"/>
      <c r="B45" s="491"/>
      <c r="C45" s="492"/>
      <c r="D45" s="117"/>
      <c r="E45" s="490"/>
      <c r="F45" s="492"/>
      <c r="G45" s="119"/>
      <c r="H45" s="507"/>
      <c r="I45" s="507"/>
      <c r="J45" s="572"/>
    </row>
    <row r="46" spans="1:10" x14ac:dyDescent="0.25">
      <c r="A46" s="589"/>
      <c r="B46" s="491"/>
      <c r="C46" s="492"/>
      <c r="D46" s="117"/>
      <c r="E46" s="490"/>
      <c r="F46" s="492"/>
      <c r="G46" s="119"/>
      <c r="H46" s="507"/>
      <c r="I46" s="507"/>
      <c r="J46" s="572"/>
    </row>
    <row r="47" spans="1:10" x14ac:dyDescent="0.25">
      <c r="A47" s="589"/>
      <c r="B47" s="491"/>
      <c r="C47" s="492"/>
      <c r="D47" s="117"/>
      <c r="E47" s="490"/>
      <c r="F47" s="492"/>
      <c r="G47" s="119"/>
      <c r="H47" s="507"/>
      <c r="I47" s="507"/>
      <c r="J47" s="572"/>
    </row>
    <row r="48" spans="1:10" x14ac:dyDescent="0.25">
      <c r="A48" s="589"/>
      <c r="B48" s="491"/>
      <c r="C48" s="492"/>
      <c r="D48" s="117"/>
      <c r="E48" s="490"/>
      <c r="F48" s="492"/>
      <c r="G48" s="119"/>
      <c r="H48" s="507"/>
      <c r="I48" s="507"/>
      <c r="J48" s="572"/>
    </row>
    <row r="49" spans="1:10" ht="15.75" thickBot="1" x14ac:dyDescent="0.3">
      <c r="A49" s="590"/>
      <c r="B49" s="591"/>
      <c r="C49" s="587"/>
      <c r="D49" s="118"/>
      <c r="E49" s="586"/>
      <c r="F49" s="587"/>
      <c r="G49" s="120"/>
      <c r="H49" s="577"/>
      <c r="I49" s="577"/>
      <c r="J49" s="578"/>
    </row>
  </sheetData>
  <sheetProtection algorithmName="SHA-512" hashValue="eqe/9ukAaeQq5GK74bDDEBS1doLXWPPDSimibHWJNdNFZihrwTf0yg0eMBaPRRRNYCLSxT0Lz//G13S+QKEdEA==" saltValue="TkCbp5NRxXXrQqPZmk1+Sw==" spinCount="100000" sheet="1" objects="1" scenarios="1"/>
  <mergeCells count="36">
    <mergeCell ref="A1:J1"/>
    <mergeCell ref="B2:J2"/>
    <mergeCell ref="A3:C3"/>
    <mergeCell ref="A36:C39"/>
    <mergeCell ref="A22:C26"/>
    <mergeCell ref="A27:C33"/>
    <mergeCell ref="A20:C21"/>
    <mergeCell ref="A8:C9"/>
    <mergeCell ref="E4:J4"/>
    <mergeCell ref="E5:J5"/>
    <mergeCell ref="E10:J14"/>
    <mergeCell ref="E15:J19"/>
    <mergeCell ref="E22:J26"/>
    <mergeCell ref="E27:J33"/>
    <mergeCell ref="E20:J20"/>
    <mergeCell ref="E21:J21"/>
    <mergeCell ref="H46:J47"/>
    <mergeCell ref="A15:C19"/>
    <mergeCell ref="E6:J6"/>
    <mergeCell ref="E7:J7"/>
    <mergeCell ref="E8:J8"/>
    <mergeCell ref="E9:J9"/>
    <mergeCell ref="E36:F39"/>
    <mergeCell ref="E40:F49"/>
    <mergeCell ref="A40:C49"/>
    <mergeCell ref="A34:C35"/>
    <mergeCell ref="H48:J49"/>
    <mergeCell ref="H38:J39"/>
    <mergeCell ref="H40:J41"/>
    <mergeCell ref="H42:J43"/>
    <mergeCell ref="H44:J45"/>
    <mergeCell ref="A4:C4"/>
    <mergeCell ref="A5:C5"/>
    <mergeCell ref="A6:C6"/>
    <mergeCell ref="A10:C14"/>
    <mergeCell ref="H36:J37"/>
  </mergeCells>
  <printOptions horizontalCentered="1"/>
  <pageMargins left="0.5" right="0.5" top="0.5" bottom="0.5" header="0.3" footer="0.3"/>
  <pageSetup scale="6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G21"/>
  <sheetViews>
    <sheetView showGridLines="0" zoomScale="95" zoomScaleNormal="95" workbookViewId="0">
      <selection activeCell="E19" sqref="E19"/>
    </sheetView>
  </sheetViews>
  <sheetFormatPr defaultRowHeight="14.25" x14ac:dyDescent="0.2"/>
  <cols>
    <col min="1" max="1" width="28.42578125" style="222" customWidth="1"/>
    <col min="2" max="2" width="36" style="267" customWidth="1"/>
    <col min="3" max="4" width="36.140625" style="267" customWidth="1"/>
    <col min="5" max="16384" width="9.140625" style="222"/>
  </cols>
  <sheetData>
    <row r="1" spans="1:7" ht="20.25" x14ac:dyDescent="0.3">
      <c r="A1" s="614" t="s">
        <v>114</v>
      </c>
      <c r="B1" s="614"/>
      <c r="C1" s="614"/>
      <c r="D1" s="614"/>
      <c r="E1" s="614"/>
      <c r="F1" s="614"/>
      <c r="G1" s="614"/>
    </row>
    <row r="2" spans="1:7" x14ac:dyDescent="0.2">
      <c r="A2" s="106"/>
      <c r="B2" s="225"/>
      <c r="C2" s="225"/>
      <c r="D2" s="225"/>
      <c r="E2" s="106"/>
      <c r="F2" s="106"/>
      <c r="G2" s="106"/>
    </row>
    <row r="3" spans="1:7" ht="15.75" x14ac:dyDescent="0.2">
      <c r="A3" s="122"/>
      <c r="B3" s="123" t="s">
        <v>115</v>
      </c>
      <c r="C3" s="123" t="s">
        <v>116</v>
      </c>
      <c r="D3" s="124" t="s">
        <v>117</v>
      </c>
      <c r="E3" s="125" t="s">
        <v>118</v>
      </c>
      <c r="F3" s="125" t="s">
        <v>119</v>
      </c>
      <c r="G3" s="125" t="s">
        <v>120</v>
      </c>
    </row>
    <row r="4" spans="1:7" ht="30" x14ac:dyDescent="0.2">
      <c r="A4" s="126" t="s">
        <v>121</v>
      </c>
      <c r="B4" s="91" t="s">
        <v>122</v>
      </c>
      <c r="C4" s="91" t="s">
        <v>123</v>
      </c>
      <c r="D4" s="91" t="s">
        <v>124</v>
      </c>
      <c r="E4" s="96">
        <v>5</v>
      </c>
      <c r="F4" s="85">
        <v>3</v>
      </c>
      <c r="G4" s="86">
        <f>E4*F4</f>
        <v>15</v>
      </c>
    </row>
    <row r="5" spans="1:7" ht="60" x14ac:dyDescent="0.2">
      <c r="A5" s="126" t="s">
        <v>125</v>
      </c>
      <c r="B5" s="91" t="s">
        <v>126</v>
      </c>
      <c r="C5" s="91" t="s">
        <v>375</v>
      </c>
      <c r="D5" s="91" t="s">
        <v>127</v>
      </c>
      <c r="E5" s="96">
        <v>5</v>
      </c>
      <c r="F5" s="85">
        <v>3</v>
      </c>
      <c r="G5" s="86">
        <f>F5*E5</f>
        <v>15</v>
      </c>
    </row>
    <row r="6" spans="1:7" ht="15.75" x14ac:dyDescent="0.2">
      <c r="A6" s="126" t="s">
        <v>128</v>
      </c>
      <c r="B6" s="91" t="s">
        <v>129</v>
      </c>
      <c r="C6" s="91" t="s">
        <v>130</v>
      </c>
      <c r="D6" s="91" t="s">
        <v>131</v>
      </c>
      <c r="E6" s="96">
        <v>3</v>
      </c>
      <c r="F6" s="85">
        <v>3</v>
      </c>
      <c r="G6" s="86">
        <f>F6*E6</f>
        <v>9</v>
      </c>
    </row>
    <row r="7" spans="1:7" ht="15.75" x14ac:dyDescent="0.2">
      <c r="A7" s="126" t="s">
        <v>132</v>
      </c>
      <c r="B7" s="91" t="s">
        <v>133</v>
      </c>
      <c r="C7" s="91" t="s">
        <v>134</v>
      </c>
      <c r="D7" s="91" t="s">
        <v>135</v>
      </c>
      <c r="E7" s="96">
        <v>5</v>
      </c>
      <c r="F7" s="85">
        <v>3</v>
      </c>
      <c r="G7" s="86">
        <f>F7*E7</f>
        <v>15</v>
      </c>
    </row>
    <row r="8" spans="1:7" ht="30" x14ac:dyDescent="0.2">
      <c r="A8" s="126" t="s">
        <v>136</v>
      </c>
      <c r="B8" s="91" t="s">
        <v>137</v>
      </c>
      <c r="C8" s="91" t="s">
        <v>138</v>
      </c>
      <c r="D8" s="91" t="s">
        <v>139</v>
      </c>
      <c r="E8" s="96">
        <v>1</v>
      </c>
      <c r="F8" s="85">
        <v>3</v>
      </c>
      <c r="G8" s="86">
        <f t="shared" ref="G8:G9" si="0">F8*E8</f>
        <v>3</v>
      </c>
    </row>
    <row r="9" spans="1:7" ht="45" x14ac:dyDescent="0.2">
      <c r="A9" s="126" t="s">
        <v>140</v>
      </c>
      <c r="B9" s="91" t="s">
        <v>141</v>
      </c>
      <c r="C9" s="91" t="s">
        <v>142</v>
      </c>
      <c r="D9" s="91" t="s">
        <v>143</v>
      </c>
      <c r="E9" s="96">
        <v>3</v>
      </c>
      <c r="F9" s="85">
        <v>5</v>
      </c>
      <c r="G9" s="86">
        <f t="shared" si="0"/>
        <v>15</v>
      </c>
    </row>
    <row r="10" spans="1:7" ht="75" x14ac:dyDescent="0.2">
      <c r="A10" s="126" t="s">
        <v>144</v>
      </c>
      <c r="B10" s="91" t="s">
        <v>145</v>
      </c>
      <c r="C10" s="91" t="s">
        <v>146</v>
      </c>
      <c r="D10" s="91" t="s">
        <v>147</v>
      </c>
      <c r="E10" s="96">
        <v>5</v>
      </c>
      <c r="F10" s="85">
        <v>5</v>
      </c>
      <c r="G10" s="86">
        <f>F10*E10</f>
        <v>25</v>
      </c>
    </row>
    <row r="11" spans="1:7" ht="30" x14ac:dyDescent="0.2">
      <c r="A11" s="127" t="s">
        <v>148</v>
      </c>
      <c r="B11" s="92" t="s">
        <v>149</v>
      </c>
      <c r="C11" s="92"/>
      <c r="D11" s="92" t="s">
        <v>150</v>
      </c>
      <c r="E11" s="97">
        <v>1</v>
      </c>
      <c r="F11" s="87">
        <v>5</v>
      </c>
      <c r="G11" s="88">
        <f t="shared" ref="G11:G14" si="1">F11*E11</f>
        <v>5</v>
      </c>
    </row>
    <row r="12" spans="1:7" ht="30" x14ac:dyDescent="0.2">
      <c r="A12" s="128" t="s">
        <v>151</v>
      </c>
      <c r="B12" s="93" t="s">
        <v>152</v>
      </c>
      <c r="C12" s="93" t="s">
        <v>153</v>
      </c>
      <c r="D12" s="93" t="s">
        <v>154</v>
      </c>
      <c r="E12" s="98">
        <v>1</v>
      </c>
      <c r="F12" s="89">
        <v>5</v>
      </c>
      <c r="G12" s="90">
        <f t="shared" si="1"/>
        <v>5</v>
      </c>
    </row>
    <row r="13" spans="1:7" ht="30" x14ac:dyDescent="0.2">
      <c r="A13" s="128" t="s">
        <v>155</v>
      </c>
      <c r="B13" s="93" t="s">
        <v>156</v>
      </c>
      <c r="C13" s="93" t="s">
        <v>157</v>
      </c>
      <c r="D13" s="93" t="s">
        <v>158</v>
      </c>
      <c r="E13" s="98">
        <v>3</v>
      </c>
      <c r="F13" s="89">
        <v>5</v>
      </c>
      <c r="G13" s="90">
        <f t="shared" si="1"/>
        <v>15</v>
      </c>
    </row>
    <row r="14" spans="1:7" ht="45" x14ac:dyDescent="0.2">
      <c r="A14" s="128" t="s">
        <v>159</v>
      </c>
      <c r="B14" s="93" t="s">
        <v>160</v>
      </c>
      <c r="C14" s="93" t="s">
        <v>161</v>
      </c>
      <c r="D14" s="93" t="s">
        <v>162</v>
      </c>
      <c r="E14" s="98">
        <v>1</v>
      </c>
      <c r="F14" s="89">
        <v>5</v>
      </c>
      <c r="G14" s="90">
        <f t="shared" si="1"/>
        <v>5</v>
      </c>
    </row>
    <row r="15" spans="1:7" x14ac:dyDescent="0.2">
      <c r="A15" s="106"/>
      <c r="B15" s="225"/>
      <c r="C15" s="225"/>
      <c r="D15" s="225"/>
      <c r="E15" s="106"/>
      <c r="F15" s="106"/>
      <c r="G15" s="106"/>
    </row>
    <row r="16" spans="1:7" ht="29.25" customHeight="1" x14ac:dyDescent="0.2">
      <c r="A16" s="615" t="s">
        <v>163</v>
      </c>
      <c r="B16" s="615"/>
      <c r="C16" s="615"/>
      <c r="D16" s="615"/>
      <c r="E16" s="615"/>
      <c r="F16" s="615"/>
      <c r="G16" s="615"/>
    </row>
    <row r="17" spans="1:7" x14ac:dyDescent="0.2">
      <c r="A17" s="106"/>
      <c r="B17" s="225"/>
      <c r="C17" s="225"/>
      <c r="D17" s="225"/>
      <c r="E17" s="106"/>
      <c r="F17" s="106"/>
      <c r="G17" s="106"/>
    </row>
    <row r="18" spans="1:7" ht="18" x14ac:dyDescent="0.2">
      <c r="A18" s="616" t="s">
        <v>164</v>
      </c>
      <c r="B18" s="617"/>
      <c r="C18" s="128" t="s">
        <v>165</v>
      </c>
      <c r="D18" s="265">
        <f>SUM(G4:G14)</f>
        <v>127</v>
      </c>
      <c r="E18" s="106"/>
      <c r="F18" s="106"/>
      <c r="G18" s="106"/>
    </row>
    <row r="19" spans="1:7" ht="15.75" x14ac:dyDescent="0.2">
      <c r="A19" s="94" t="s">
        <v>166</v>
      </c>
      <c r="B19" s="95" t="s">
        <v>167</v>
      </c>
      <c r="C19" s="128" t="s">
        <v>168</v>
      </c>
      <c r="D19" s="266" t="str">
        <f>IF(D18=0, "N/A", IF(D18&lt;101, "Low", IF(D18&lt;175, "Medium", IF(D18&gt;175, "High", "N/A"))))</f>
        <v>Medium</v>
      </c>
      <c r="E19" s="106"/>
      <c r="F19" s="106"/>
      <c r="G19" s="106"/>
    </row>
    <row r="20" spans="1:7" x14ac:dyDescent="0.2">
      <c r="A20" s="94" t="s">
        <v>169</v>
      </c>
      <c r="B20" s="95" t="s">
        <v>170</v>
      </c>
      <c r="C20" s="225"/>
      <c r="D20" s="225"/>
      <c r="E20" s="106"/>
      <c r="F20" s="106"/>
      <c r="G20" s="106"/>
    </row>
    <row r="21" spans="1:7" x14ac:dyDescent="0.2">
      <c r="A21" s="94" t="s">
        <v>171</v>
      </c>
      <c r="B21" s="95" t="s">
        <v>172</v>
      </c>
      <c r="C21" s="225"/>
      <c r="D21" s="225"/>
      <c r="E21" s="106"/>
      <c r="F21" s="106"/>
      <c r="G21" s="106"/>
    </row>
  </sheetData>
  <sheetProtection algorithmName="SHA-512" hashValue="kuTfp7c4QApX8tgSRnkOjsowNvbnMqKelAV6P6qMGtV+PR+6O9aIpkKuZvcP4qykTPMU869nR9tUOeWr0uc16g==" saltValue="hjh84ACowvNporfiWQHh2w==" spinCount="100000" sheet="1" objects="1" scenarios="1"/>
  <mergeCells count="3">
    <mergeCell ref="A1:G1"/>
    <mergeCell ref="A16:G16"/>
    <mergeCell ref="A18:B18"/>
  </mergeCells>
  <dataValidations count="1">
    <dataValidation type="list" allowBlank="1" showInputMessage="1" showErrorMessage="1" sqref="E4:E14">
      <formula1>"1,3,5"</formula1>
    </dataValidation>
  </dataValidations>
  <pageMargins left="0.7" right="0.7" top="0.75" bottom="0.75" header="0.3" footer="0.3"/>
  <pageSetup scale="7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pageSetUpPr fitToPage="1"/>
  </sheetPr>
  <dimension ref="A1:V19"/>
  <sheetViews>
    <sheetView showGridLines="0" zoomScale="85" zoomScaleNormal="85" workbookViewId="0">
      <selection activeCell="O17" sqref="O17:T17"/>
    </sheetView>
  </sheetViews>
  <sheetFormatPr defaultColWidth="12.5703125" defaultRowHeight="15" x14ac:dyDescent="0.2"/>
  <cols>
    <col min="1" max="1" width="3.42578125" style="129" customWidth="1"/>
    <col min="2" max="2" width="18.85546875" style="139" customWidth="1"/>
    <col min="3" max="3" width="3.42578125" style="139" customWidth="1"/>
    <col min="4" max="4" width="24" style="139" customWidth="1"/>
    <col min="5" max="5" width="3.42578125" style="139" customWidth="1"/>
    <col min="6" max="6" width="24" style="139" customWidth="1"/>
    <col min="7" max="7" width="3.42578125" style="139" customWidth="1"/>
    <col min="8" max="8" width="24" style="139" customWidth="1"/>
    <col min="9" max="9" width="3.42578125" style="139" customWidth="1"/>
    <col min="10" max="10" width="24" style="139" customWidth="1"/>
    <col min="11" max="11" width="3.42578125" style="139" customWidth="1"/>
    <col min="12" max="12" width="24" style="139" customWidth="1"/>
    <col min="13" max="14" width="3.42578125" style="139" customWidth="1"/>
    <col min="15" max="18" width="24" style="140" customWidth="1"/>
    <col min="19" max="19" width="16.7109375" style="140" customWidth="1"/>
    <col min="20" max="20" width="20.28515625" style="140" customWidth="1"/>
    <col min="21" max="21" width="3.42578125" style="140" customWidth="1"/>
    <col min="22" max="22" width="3.42578125" style="129" customWidth="1"/>
    <col min="23" max="16384" width="12.5703125" style="129"/>
  </cols>
  <sheetData>
    <row r="1" spans="1:22" s="132" customFormat="1" ht="28.5" thickBot="1" x14ac:dyDescent="0.3">
      <c r="B1" s="172" t="s">
        <v>173</v>
      </c>
      <c r="C1" s="134"/>
      <c r="D1" s="134"/>
      <c r="E1" s="134"/>
      <c r="F1" s="134"/>
      <c r="G1" s="134"/>
      <c r="H1" s="135"/>
      <c r="I1" s="136"/>
      <c r="J1" s="136"/>
      <c r="K1" s="136"/>
      <c r="L1" s="134"/>
      <c r="M1" s="134"/>
      <c r="N1" s="136"/>
      <c r="O1" s="137"/>
      <c r="P1" s="137"/>
      <c r="Q1" s="137"/>
      <c r="R1" s="137"/>
      <c r="S1" s="137"/>
      <c r="T1" s="137"/>
      <c r="U1" s="137"/>
    </row>
    <row r="2" spans="1:22" ht="18" customHeight="1" x14ac:dyDescent="0.2">
      <c r="B2" s="629" t="s">
        <v>174</v>
      </c>
      <c r="C2" s="141"/>
      <c r="D2" s="145"/>
      <c r="E2" s="145"/>
      <c r="F2" s="145"/>
      <c r="G2" s="145"/>
      <c r="H2" s="145"/>
      <c r="I2" s="145"/>
      <c r="J2" s="145"/>
      <c r="K2" s="145"/>
      <c r="L2" s="145"/>
      <c r="M2" s="146"/>
      <c r="N2" s="632"/>
      <c r="O2" s="633"/>
      <c r="P2" s="633"/>
      <c r="Q2" s="633"/>
      <c r="R2" s="633"/>
      <c r="S2" s="633"/>
      <c r="T2" s="633"/>
      <c r="U2" s="634"/>
    </row>
    <row r="3" spans="1:22" ht="72" customHeight="1" x14ac:dyDescent="0.2">
      <c r="B3" s="630"/>
      <c r="C3" s="142"/>
      <c r="D3" s="641" t="str">
        <f>'Intake Form'!C4</f>
        <v>CloudMed DRG Validation &amp; Underpayment Implementation</v>
      </c>
      <c r="E3" s="642"/>
      <c r="F3" s="642"/>
      <c r="G3" s="642"/>
      <c r="H3" s="642"/>
      <c r="I3" s="642"/>
      <c r="J3" s="642"/>
      <c r="K3" s="642"/>
      <c r="L3" s="643"/>
      <c r="M3" s="147"/>
      <c r="N3" s="635"/>
      <c r="O3" s="636"/>
      <c r="P3" s="636"/>
      <c r="Q3" s="636"/>
      <c r="R3" s="636"/>
      <c r="S3" s="636"/>
      <c r="T3" s="636"/>
      <c r="U3" s="637"/>
    </row>
    <row r="4" spans="1:22" ht="18" customHeight="1" thickBot="1" x14ac:dyDescent="0.25">
      <c r="B4" s="631"/>
      <c r="C4" s="143"/>
      <c r="D4" s="144"/>
      <c r="E4" s="144"/>
      <c r="F4" s="144"/>
      <c r="G4" s="144"/>
      <c r="H4" s="144"/>
      <c r="I4" s="144"/>
      <c r="J4" s="144"/>
      <c r="K4" s="144"/>
      <c r="L4" s="144"/>
      <c r="M4" s="148"/>
      <c r="N4" s="638"/>
      <c r="O4" s="639"/>
      <c r="P4" s="639"/>
      <c r="Q4" s="639"/>
      <c r="R4" s="639"/>
      <c r="S4" s="639"/>
      <c r="T4" s="639"/>
      <c r="U4" s="640"/>
    </row>
    <row r="5" spans="1:22" ht="18" customHeight="1" x14ac:dyDescent="0.3">
      <c r="B5" s="629" t="s">
        <v>175</v>
      </c>
      <c r="C5" s="149"/>
      <c r="D5" s="626" t="s">
        <v>176</v>
      </c>
      <c r="E5" s="171"/>
      <c r="F5" s="626" t="s">
        <v>177</v>
      </c>
      <c r="G5" s="169"/>
      <c r="H5" s="626" t="s">
        <v>178</v>
      </c>
      <c r="I5" s="169"/>
      <c r="J5" s="626" t="s">
        <v>179</v>
      </c>
      <c r="K5" s="169"/>
      <c r="L5" s="626" t="s">
        <v>180</v>
      </c>
      <c r="M5" s="157"/>
      <c r="N5" s="141"/>
      <c r="O5" s="618" t="s">
        <v>181</v>
      </c>
      <c r="P5" s="618" t="s">
        <v>182</v>
      </c>
      <c r="Q5" s="618" t="s">
        <v>183</v>
      </c>
      <c r="R5" s="618" t="s">
        <v>184</v>
      </c>
      <c r="S5" s="618" t="s">
        <v>185</v>
      </c>
      <c r="T5" s="618" t="s">
        <v>186</v>
      </c>
      <c r="U5" s="152"/>
    </row>
    <row r="6" spans="1:22" ht="18" customHeight="1" x14ac:dyDescent="0.25">
      <c r="A6" s="138"/>
      <c r="B6" s="630"/>
      <c r="C6" s="158"/>
      <c r="D6" s="627"/>
      <c r="E6" s="170"/>
      <c r="F6" s="627"/>
      <c r="G6" s="170"/>
      <c r="H6" s="627"/>
      <c r="I6" s="170"/>
      <c r="J6" s="627"/>
      <c r="K6" s="170"/>
      <c r="L6" s="628"/>
      <c r="M6" s="160"/>
      <c r="N6" s="142"/>
      <c r="O6" s="619"/>
      <c r="P6" s="619"/>
      <c r="Q6" s="619"/>
      <c r="R6" s="619"/>
      <c r="S6" s="619"/>
      <c r="T6" s="619"/>
      <c r="U6" s="153"/>
      <c r="V6" s="138"/>
    </row>
    <row r="7" spans="1:22" ht="47.25" customHeight="1" x14ac:dyDescent="0.2">
      <c r="B7" s="630"/>
      <c r="C7" s="150"/>
      <c r="D7" s="622" t="s">
        <v>187</v>
      </c>
      <c r="E7" s="163"/>
      <c r="F7" s="622" t="s">
        <v>188</v>
      </c>
      <c r="G7" s="163"/>
      <c r="H7" s="622" t="s">
        <v>189</v>
      </c>
      <c r="I7" s="163"/>
      <c r="J7" s="622" t="s">
        <v>190</v>
      </c>
      <c r="K7" s="163"/>
      <c r="L7" s="167" t="s">
        <v>191</v>
      </c>
      <c r="M7" s="161"/>
      <c r="N7" s="142"/>
      <c r="O7" s="173" t="s">
        <v>417</v>
      </c>
      <c r="P7" s="173" t="s">
        <v>418</v>
      </c>
      <c r="Q7" s="289">
        <v>5.2999999999999998E-4</v>
      </c>
      <c r="R7" s="289">
        <v>6.9999999999999999E-4</v>
      </c>
      <c r="S7" s="290">
        <v>44743</v>
      </c>
      <c r="T7" s="173" t="s">
        <v>420</v>
      </c>
      <c r="U7" s="153"/>
    </row>
    <row r="8" spans="1:22" ht="47.25" customHeight="1" x14ac:dyDescent="0.2">
      <c r="B8" s="630"/>
      <c r="C8" s="150"/>
      <c r="D8" s="623"/>
      <c r="E8" s="163"/>
      <c r="F8" s="623"/>
      <c r="G8" s="163"/>
      <c r="H8" s="623"/>
      <c r="I8" s="163"/>
      <c r="J8" s="623"/>
      <c r="K8" s="163"/>
      <c r="L8" s="167" t="s">
        <v>191</v>
      </c>
      <c r="M8" s="161"/>
      <c r="N8" s="142"/>
      <c r="O8" s="173"/>
      <c r="P8" s="173"/>
      <c r="Q8" s="173"/>
      <c r="R8" s="173"/>
      <c r="S8" s="173"/>
      <c r="T8" s="173"/>
      <c r="U8" s="153"/>
    </row>
    <row r="9" spans="1:22" ht="47.25" customHeight="1" thickBot="1" x14ac:dyDescent="0.25">
      <c r="B9" s="630"/>
      <c r="C9" s="150"/>
      <c r="D9" s="625"/>
      <c r="E9" s="163"/>
      <c r="F9" s="625"/>
      <c r="G9" s="163"/>
      <c r="H9" s="625"/>
      <c r="I9" s="163"/>
      <c r="J9" s="625"/>
      <c r="K9" s="163"/>
      <c r="L9" s="167" t="s">
        <v>191</v>
      </c>
      <c r="M9" s="161"/>
      <c r="N9" s="142"/>
      <c r="O9" s="173"/>
      <c r="P9" s="173"/>
      <c r="Q9" s="173"/>
      <c r="R9" s="173"/>
      <c r="S9" s="173"/>
      <c r="T9" s="173"/>
      <c r="U9" s="153"/>
    </row>
    <row r="10" spans="1:22" ht="18" customHeight="1" x14ac:dyDescent="0.3">
      <c r="B10" s="630"/>
      <c r="C10" s="149"/>
      <c r="D10" s="164"/>
      <c r="E10" s="155"/>
      <c r="F10" s="156"/>
      <c r="G10" s="156"/>
      <c r="H10" s="626" t="s">
        <v>178</v>
      </c>
      <c r="I10" s="169"/>
      <c r="J10" s="626" t="s">
        <v>179</v>
      </c>
      <c r="K10" s="169"/>
      <c r="L10" s="626" t="s">
        <v>192</v>
      </c>
      <c r="M10" s="157"/>
      <c r="N10" s="141"/>
      <c r="O10" s="618" t="s">
        <v>181</v>
      </c>
      <c r="P10" s="618" t="s">
        <v>182</v>
      </c>
      <c r="Q10" s="618" t="s">
        <v>183</v>
      </c>
      <c r="R10" s="618" t="s">
        <v>184</v>
      </c>
      <c r="S10" s="618" t="s">
        <v>185</v>
      </c>
      <c r="T10" s="618" t="s">
        <v>186</v>
      </c>
      <c r="U10" s="152"/>
    </row>
    <row r="11" spans="1:22" ht="18" customHeight="1" x14ac:dyDescent="0.25">
      <c r="A11" s="138"/>
      <c r="B11" s="630"/>
      <c r="C11" s="158"/>
      <c r="D11" s="165"/>
      <c r="E11" s="159"/>
      <c r="F11" s="165"/>
      <c r="G11" s="159"/>
      <c r="H11" s="627"/>
      <c r="I11" s="170"/>
      <c r="J11" s="627"/>
      <c r="K11" s="170"/>
      <c r="L11" s="628"/>
      <c r="M11" s="160"/>
      <c r="N11" s="142"/>
      <c r="O11" s="619"/>
      <c r="P11" s="619"/>
      <c r="Q11" s="619"/>
      <c r="R11" s="619"/>
      <c r="S11" s="619"/>
      <c r="T11" s="619"/>
      <c r="U11" s="153"/>
      <c r="V11" s="138"/>
    </row>
    <row r="12" spans="1:22" ht="47.25" customHeight="1" x14ac:dyDescent="0.2">
      <c r="B12" s="630"/>
      <c r="C12" s="150"/>
      <c r="D12" s="620"/>
      <c r="E12" s="163"/>
      <c r="F12" s="620"/>
      <c r="G12" s="163"/>
      <c r="H12" s="622" t="s">
        <v>189</v>
      </c>
      <c r="I12" s="163"/>
      <c r="J12" s="622" t="s">
        <v>190</v>
      </c>
      <c r="K12" s="163"/>
      <c r="L12" s="167" t="s">
        <v>193</v>
      </c>
      <c r="M12" s="161"/>
      <c r="N12" s="142"/>
      <c r="O12" s="173" t="s">
        <v>419</v>
      </c>
      <c r="P12" s="173" t="s">
        <v>421</v>
      </c>
      <c r="Q12" s="289">
        <v>6.1000000000000004E-3</v>
      </c>
      <c r="R12" s="289">
        <v>0.01</v>
      </c>
      <c r="S12" s="290">
        <v>44743</v>
      </c>
      <c r="T12" s="173" t="s">
        <v>420</v>
      </c>
      <c r="U12" s="153"/>
    </row>
    <row r="13" spans="1:22" ht="47.25" customHeight="1" x14ac:dyDescent="0.2">
      <c r="B13" s="630"/>
      <c r="C13" s="150"/>
      <c r="D13" s="620"/>
      <c r="E13" s="163"/>
      <c r="F13" s="620"/>
      <c r="G13" s="163"/>
      <c r="H13" s="623"/>
      <c r="I13" s="163"/>
      <c r="J13" s="623"/>
      <c r="K13" s="163"/>
      <c r="L13" s="167" t="s">
        <v>193</v>
      </c>
      <c r="M13" s="161"/>
      <c r="N13" s="142"/>
      <c r="O13" s="173"/>
      <c r="P13" s="173"/>
      <c r="Q13" s="173"/>
      <c r="R13" s="173"/>
      <c r="S13" s="173"/>
      <c r="T13" s="173"/>
      <c r="U13" s="153"/>
    </row>
    <row r="14" spans="1:22" ht="47.25" customHeight="1" thickBot="1" x14ac:dyDescent="0.25">
      <c r="B14" s="630"/>
      <c r="C14" s="150"/>
      <c r="D14" s="620"/>
      <c r="E14" s="163"/>
      <c r="F14" s="620"/>
      <c r="G14" s="163"/>
      <c r="H14" s="625"/>
      <c r="I14" s="163"/>
      <c r="J14" s="625"/>
      <c r="K14" s="163"/>
      <c r="L14" s="167" t="s">
        <v>193</v>
      </c>
      <c r="M14" s="161"/>
      <c r="N14" s="142"/>
      <c r="O14" s="173"/>
      <c r="P14" s="173"/>
      <c r="Q14" s="173"/>
      <c r="R14" s="173"/>
      <c r="S14" s="173"/>
      <c r="T14" s="173"/>
      <c r="U14" s="153"/>
    </row>
    <row r="15" spans="1:22" ht="18" customHeight="1" x14ac:dyDescent="0.3">
      <c r="B15" s="630"/>
      <c r="C15" s="149"/>
      <c r="D15" s="164"/>
      <c r="E15" s="155"/>
      <c r="F15" s="156"/>
      <c r="G15" s="156"/>
      <c r="H15" s="626" t="s">
        <v>178</v>
      </c>
      <c r="I15" s="169"/>
      <c r="J15" s="626" t="s">
        <v>179</v>
      </c>
      <c r="K15" s="169"/>
      <c r="L15" s="626" t="s">
        <v>194</v>
      </c>
      <c r="M15" s="157"/>
      <c r="N15" s="141"/>
      <c r="O15" s="618" t="s">
        <v>181</v>
      </c>
      <c r="P15" s="618" t="s">
        <v>182</v>
      </c>
      <c r="Q15" s="618" t="s">
        <v>183</v>
      </c>
      <c r="R15" s="618" t="s">
        <v>184</v>
      </c>
      <c r="S15" s="618" t="s">
        <v>185</v>
      </c>
      <c r="T15" s="618" t="s">
        <v>186</v>
      </c>
      <c r="U15" s="152"/>
    </row>
    <row r="16" spans="1:22" ht="18" customHeight="1" x14ac:dyDescent="0.25">
      <c r="A16" s="138"/>
      <c r="B16" s="630"/>
      <c r="C16" s="158"/>
      <c r="D16" s="165"/>
      <c r="E16" s="159"/>
      <c r="F16" s="165"/>
      <c r="G16" s="159"/>
      <c r="H16" s="627"/>
      <c r="I16" s="170"/>
      <c r="J16" s="627"/>
      <c r="K16" s="170"/>
      <c r="L16" s="628"/>
      <c r="M16" s="160"/>
      <c r="N16" s="142"/>
      <c r="O16" s="619"/>
      <c r="P16" s="619"/>
      <c r="Q16" s="619"/>
      <c r="R16" s="619"/>
      <c r="S16" s="619"/>
      <c r="T16" s="619"/>
      <c r="U16" s="153"/>
      <c r="V16" s="138"/>
    </row>
    <row r="17" spans="2:21" ht="47.25" customHeight="1" x14ac:dyDescent="0.2">
      <c r="B17" s="630"/>
      <c r="C17" s="150"/>
      <c r="D17" s="620"/>
      <c r="E17" s="163"/>
      <c r="F17" s="620"/>
      <c r="G17" s="163"/>
      <c r="H17" s="622" t="s">
        <v>189</v>
      </c>
      <c r="I17" s="163"/>
      <c r="J17" s="622" t="s">
        <v>190</v>
      </c>
      <c r="K17" s="163"/>
      <c r="L17" s="167" t="s">
        <v>195</v>
      </c>
      <c r="M17" s="161"/>
      <c r="N17" s="142"/>
      <c r="O17" s="173" t="s">
        <v>417</v>
      </c>
      <c r="P17" s="173" t="s">
        <v>418</v>
      </c>
      <c r="Q17" s="289">
        <v>5.2999999999999998E-4</v>
      </c>
      <c r="R17" s="289">
        <v>6.9999999999999999E-4</v>
      </c>
      <c r="S17" s="290">
        <v>44743</v>
      </c>
      <c r="T17" s="173" t="s">
        <v>420</v>
      </c>
      <c r="U17" s="153"/>
    </row>
    <row r="18" spans="2:21" ht="47.25" customHeight="1" x14ac:dyDescent="0.2">
      <c r="B18" s="630"/>
      <c r="C18" s="150"/>
      <c r="D18" s="620"/>
      <c r="E18" s="163"/>
      <c r="F18" s="620"/>
      <c r="G18" s="163"/>
      <c r="H18" s="623"/>
      <c r="I18" s="163"/>
      <c r="J18" s="623"/>
      <c r="K18" s="163"/>
      <c r="L18" s="167" t="s">
        <v>195</v>
      </c>
      <c r="M18" s="161"/>
      <c r="N18" s="142"/>
      <c r="O18" s="173"/>
      <c r="P18" s="173"/>
      <c r="Q18" s="173"/>
      <c r="R18" s="173"/>
      <c r="S18" s="173"/>
      <c r="T18" s="173"/>
      <c r="U18" s="153"/>
    </row>
    <row r="19" spans="2:21" ht="47.25" customHeight="1" thickBot="1" x14ac:dyDescent="0.25">
      <c r="B19" s="631"/>
      <c r="C19" s="151"/>
      <c r="D19" s="621"/>
      <c r="E19" s="166"/>
      <c r="F19" s="621"/>
      <c r="G19" s="166"/>
      <c r="H19" s="624"/>
      <c r="I19" s="166"/>
      <c r="J19" s="624"/>
      <c r="K19" s="166"/>
      <c r="L19" s="168" t="s">
        <v>195</v>
      </c>
      <c r="M19" s="162"/>
      <c r="N19" s="143"/>
      <c r="O19" s="174"/>
      <c r="P19" s="174"/>
      <c r="Q19" s="174"/>
      <c r="R19" s="174"/>
      <c r="S19" s="174"/>
      <c r="T19" s="174"/>
      <c r="U19" s="154"/>
    </row>
  </sheetData>
  <sheetProtection algorithmName="SHA-512" hashValue="ifBtSsikIq421O24WYZpEwQMAo3PyKmaFyLvIjX4vuUj4Pki0uAkSGUOZBvbC2fNRcLE1LRoJr9J3Gudt0Q8bA==" saltValue="BNa/CJfJT6ZssftbI3zbOw==" spinCount="100000" sheet="1" objects="1" scenarios="1"/>
  <mergeCells count="45">
    <mergeCell ref="T15:T16"/>
    <mergeCell ref="D7:D9"/>
    <mergeCell ref="F7:F9"/>
    <mergeCell ref="R15:R16"/>
    <mergeCell ref="O10:O11"/>
    <mergeCell ref="P10:P11"/>
    <mergeCell ref="Q10:Q11"/>
    <mergeCell ref="H15:H16"/>
    <mergeCell ref="J15:J16"/>
    <mergeCell ref="L15:L16"/>
    <mergeCell ref="R10:R11"/>
    <mergeCell ref="S15:S16"/>
    <mergeCell ref="F12:F14"/>
    <mergeCell ref="H12:H14"/>
    <mergeCell ref="J12:J14"/>
    <mergeCell ref="O15:O16"/>
    <mergeCell ref="B2:B4"/>
    <mergeCell ref="N2:U4"/>
    <mergeCell ref="D3:L3"/>
    <mergeCell ref="P5:P6"/>
    <mergeCell ref="S5:S6"/>
    <mergeCell ref="T5:T6"/>
    <mergeCell ref="Q5:Q6"/>
    <mergeCell ref="B5:B19"/>
    <mergeCell ref="S10:S11"/>
    <mergeCell ref="T10:T11"/>
    <mergeCell ref="R5:R6"/>
    <mergeCell ref="H10:H11"/>
    <mergeCell ref="J10:J11"/>
    <mergeCell ref="L10:L11"/>
    <mergeCell ref="D5:D6"/>
    <mergeCell ref="F5:F6"/>
    <mergeCell ref="Q15:Q16"/>
    <mergeCell ref="D12:D14"/>
    <mergeCell ref="P15:P16"/>
    <mergeCell ref="O5:O6"/>
    <mergeCell ref="D17:D19"/>
    <mergeCell ref="F17:F19"/>
    <mergeCell ref="H17:H19"/>
    <mergeCell ref="J17:J19"/>
    <mergeCell ref="H7:H9"/>
    <mergeCell ref="J7:J9"/>
    <mergeCell ref="H5:H6"/>
    <mergeCell ref="J5:J6"/>
    <mergeCell ref="L5:L6"/>
  </mergeCells>
  <pageMargins left="0.7" right="0.7" top="0.75" bottom="0.75" header="0.3" footer="0.3"/>
  <pageSetup paperSize="5" scale="5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pageSetUpPr fitToPage="1"/>
  </sheetPr>
  <dimension ref="A1:V20"/>
  <sheetViews>
    <sheetView showGridLines="0" zoomScale="80" zoomScaleNormal="80" workbookViewId="0">
      <selection activeCell="O8" sqref="O8"/>
    </sheetView>
  </sheetViews>
  <sheetFormatPr defaultColWidth="12.5703125" defaultRowHeight="15" x14ac:dyDescent="0.2"/>
  <cols>
    <col min="1" max="1" width="3.42578125" style="129" customWidth="1"/>
    <col min="2" max="2" width="18.85546875" style="139" customWidth="1"/>
    <col min="3" max="3" width="3.42578125" style="139" customWidth="1"/>
    <col min="4" max="4" width="24" style="139" customWidth="1"/>
    <col min="5" max="5" width="3.42578125" style="139" customWidth="1"/>
    <col min="6" max="6" width="24" style="139" customWidth="1"/>
    <col min="7" max="7" width="3.42578125" style="139" customWidth="1"/>
    <col min="8" max="8" width="24" style="139" customWidth="1"/>
    <col min="9" max="9" width="3.42578125" style="139" customWidth="1"/>
    <col min="10" max="10" width="24" style="139" customWidth="1"/>
    <col min="11" max="11" width="3.42578125" style="139" customWidth="1"/>
    <col min="12" max="12" width="24" style="139" customWidth="1"/>
    <col min="13" max="14" width="3.42578125" style="139" customWidth="1"/>
    <col min="15" max="18" width="24" style="140" customWidth="1"/>
    <col min="19" max="19" width="16.7109375" style="140" customWidth="1"/>
    <col min="20" max="20" width="20.28515625" style="140" customWidth="1"/>
    <col min="21" max="21" width="3.42578125" style="140" customWidth="1"/>
    <col min="22" max="22" width="3.42578125" style="129" customWidth="1"/>
    <col min="23" max="16384" width="12.5703125" style="129"/>
  </cols>
  <sheetData>
    <row r="1" spans="1:22" x14ac:dyDescent="0.2">
      <c r="B1" s="130"/>
      <c r="C1" s="130"/>
      <c r="D1" s="130"/>
      <c r="E1" s="130"/>
      <c r="F1" s="130"/>
      <c r="G1" s="130"/>
      <c r="H1" s="130"/>
      <c r="I1" s="130"/>
      <c r="J1" s="130"/>
      <c r="K1" s="130"/>
      <c r="L1" s="130"/>
      <c r="M1" s="130"/>
      <c r="N1" s="130"/>
      <c r="O1" s="131"/>
      <c r="P1" s="131"/>
      <c r="Q1" s="131"/>
      <c r="R1" s="131"/>
      <c r="S1" s="131"/>
      <c r="T1" s="131"/>
      <c r="U1" s="131"/>
    </row>
    <row r="2" spans="1:22" s="132" customFormat="1" ht="28.5" thickBot="1" x14ac:dyDescent="0.3">
      <c r="B2" s="133" t="s">
        <v>173</v>
      </c>
      <c r="C2" s="134"/>
      <c r="D2" s="134"/>
      <c r="E2" s="134"/>
      <c r="F2" s="134"/>
      <c r="G2" s="134"/>
      <c r="H2" s="135"/>
      <c r="I2" s="136"/>
      <c r="J2" s="136"/>
      <c r="K2" s="136"/>
      <c r="L2" s="134"/>
      <c r="M2" s="134"/>
      <c r="N2" s="136"/>
      <c r="O2" s="137"/>
      <c r="P2" s="137"/>
      <c r="Q2" s="137"/>
      <c r="R2" s="137"/>
      <c r="S2" s="137"/>
      <c r="T2" s="137"/>
      <c r="U2" s="137"/>
    </row>
    <row r="3" spans="1:22" ht="18" customHeight="1" x14ac:dyDescent="0.2">
      <c r="B3" s="647" t="s">
        <v>174</v>
      </c>
      <c r="C3" s="141"/>
      <c r="D3" s="145"/>
      <c r="E3" s="145"/>
      <c r="F3" s="145"/>
      <c r="G3" s="145"/>
      <c r="H3" s="145"/>
      <c r="I3" s="145"/>
      <c r="J3" s="145"/>
      <c r="K3" s="145"/>
      <c r="L3" s="145"/>
      <c r="M3" s="146"/>
      <c r="N3" s="632"/>
      <c r="O3" s="633"/>
      <c r="P3" s="633"/>
      <c r="Q3" s="633"/>
      <c r="R3" s="633"/>
      <c r="S3" s="633"/>
      <c r="T3" s="633"/>
      <c r="U3" s="634"/>
    </row>
    <row r="4" spans="1:22" ht="72" customHeight="1" x14ac:dyDescent="0.2">
      <c r="B4" s="648"/>
      <c r="C4" s="142"/>
      <c r="D4" s="650" t="str">
        <f>'Intake Form'!C4</f>
        <v>CloudMed DRG Validation &amp; Underpayment Implementation</v>
      </c>
      <c r="E4" s="651"/>
      <c r="F4" s="651"/>
      <c r="G4" s="651"/>
      <c r="H4" s="651"/>
      <c r="I4" s="651"/>
      <c r="J4" s="651"/>
      <c r="K4" s="651"/>
      <c r="L4" s="652"/>
      <c r="M4" s="147"/>
      <c r="N4" s="635"/>
      <c r="O4" s="636"/>
      <c r="P4" s="636"/>
      <c r="Q4" s="636"/>
      <c r="R4" s="636"/>
      <c r="S4" s="636"/>
      <c r="T4" s="636"/>
      <c r="U4" s="637"/>
    </row>
    <row r="5" spans="1:22" ht="18" customHeight="1" thickBot="1" x14ac:dyDescent="0.3">
      <c r="B5" s="649"/>
      <c r="C5" s="143"/>
      <c r="D5" s="175"/>
      <c r="E5" s="144"/>
      <c r="F5" s="144"/>
      <c r="G5" s="144"/>
      <c r="H5" s="144"/>
      <c r="I5" s="144"/>
      <c r="J5" s="144"/>
      <c r="K5" s="144"/>
      <c r="L5" s="144"/>
      <c r="M5" s="148"/>
      <c r="N5" s="638"/>
      <c r="O5" s="639"/>
      <c r="P5" s="639"/>
      <c r="Q5" s="639"/>
      <c r="R5" s="639"/>
      <c r="S5" s="639"/>
      <c r="T5" s="639"/>
      <c r="U5" s="640"/>
    </row>
    <row r="6" spans="1:22" ht="18" customHeight="1" x14ac:dyDescent="0.25">
      <c r="B6" s="647" t="s">
        <v>196</v>
      </c>
      <c r="C6" s="149"/>
      <c r="D6" s="164"/>
      <c r="E6" s="155"/>
      <c r="F6" s="653"/>
      <c r="G6" s="653"/>
      <c r="H6" s="653"/>
      <c r="I6" s="653"/>
      <c r="J6" s="653"/>
      <c r="K6" s="653"/>
      <c r="L6" s="645" t="s">
        <v>201</v>
      </c>
      <c r="M6" s="157"/>
      <c r="N6" s="141"/>
      <c r="O6" s="618" t="s">
        <v>181</v>
      </c>
      <c r="P6" s="618" t="s">
        <v>182</v>
      </c>
      <c r="Q6" s="618" t="s">
        <v>183</v>
      </c>
      <c r="R6" s="618" t="s">
        <v>184</v>
      </c>
      <c r="S6" s="618" t="s">
        <v>185</v>
      </c>
      <c r="T6" s="618" t="s">
        <v>186</v>
      </c>
      <c r="U6" s="152"/>
    </row>
    <row r="7" spans="1:22" ht="18" customHeight="1" x14ac:dyDescent="0.25">
      <c r="A7" s="138"/>
      <c r="B7" s="648"/>
      <c r="C7" s="158"/>
      <c r="D7" s="176" t="s">
        <v>197</v>
      </c>
      <c r="E7" s="170"/>
      <c r="F7" s="176" t="s">
        <v>198</v>
      </c>
      <c r="G7" s="170"/>
      <c r="H7" s="176" t="s">
        <v>199</v>
      </c>
      <c r="I7" s="170"/>
      <c r="J7" s="176" t="s">
        <v>200</v>
      </c>
      <c r="K7" s="170"/>
      <c r="L7" s="646"/>
      <c r="M7" s="160"/>
      <c r="N7" s="142"/>
      <c r="O7" s="619"/>
      <c r="P7" s="619"/>
      <c r="Q7" s="619"/>
      <c r="R7" s="619"/>
      <c r="S7" s="619"/>
      <c r="T7" s="619"/>
      <c r="U7" s="153"/>
      <c r="V7" s="138"/>
    </row>
    <row r="8" spans="1:22" ht="47.25" customHeight="1" x14ac:dyDescent="0.2">
      <c r="B8" s="648"/>
      <c r="C8" s="150"/>
      <c r="D8" s="622" t="s">
        <v>202</v>
      </c>
      <c r="E8" s="163"/>
      <c r="F8" s="622" t="s">
        <v>203</v>
      </c>
      <c r="G8" s="163"/>
      <c r="H8" s="622" t="s">
        <v>204</v>
      </c>
      <c r="I8" s="163"/>
      <c r="J8" s="622" t="s">
        <v>205</v>
      </c>
      <c r="K8" s="163"/>
      <c r="L8" s="167" t="s">
        <v>206</v>
      </c>
      <c r="M8" s="161"/>
      <c r="N8" s="142"/>
      <c r="O8" s="173"/>
      <c r="P8" s="173"/>
      <c r="Q8" s="173"/>
      <c r="R8" s="173"/>
      <c r="S8" s="173"/>
      <c r="T8" s="173"/>
      <c r="U8" s="153"/>
    </row>
    <row r="9" spans="1:22" ht="47.25" customHeight="1" x14ac:dyDescent="0.2">
      <c r="B9" s="648"/>
      <c r="C9" s="150"/>
      <c r="D9" s="623"/>
      <c r="E9" s="163"/>
      <c r="F9" s="623"/>
      <c r="G9" s="163"/>
      <c r="H9" s="623"/>
      <c r="I9" s="163"/>
      <c r="J9" s="623"/>
      <c r="K9" s="163"/>
      <c r="L9" s="167" t="s">
        <v>206</v>
      </c>
      <c r="M9" s="161"/>
      <c r="N9" s="142"/>
      <c r="O9" s="173"/>
      <c r="P9" s="173"/>
      <c r="Q9" s="173"/>
      <c r="R9" s="173"/>
      <c r="S9" s="173"/>
      <c r="T9" s="173"/>
      <c r="U9" s="153"/>
    </row>
    <row r="10" spans="1:22" ht="47.25" customHeight="1" thickBot="1" x14ac:dyDescent="0.25">
      <c r="B10" s="648"/>
      <c r="C10" s="150"/>
      <c r="D10" s="624"/>
      <c r="E10" s="163"/>
      <c r="F10" s="624"/>
      <c r="G10" s="163"/>
      <c r="H10" s="625"/>
      <c r="I10" s="163"/>
      <c r="J10" s="625"/>
      <c r="K10" s="163"/>
      <c r="L10" s="167" t="s">
        <v>206</v>
      </c>
      <c r="M10" s="161"/>
      <c r="N10" s="142"/>
      <c r="O10" s="173"/>
      <c r="P10" s="173"/>
      <c r="Q10" s="173"/>
      <c r="R10" s="173"/>
      <c r="S10" s="173"/>
      <c r="T10" s="173"/>
      <c r="U10" s="153"/>
    </row>
    <row r="11" spans="1:22" ht="18" customHeight="1" x14ac:dyDescent="0.3">
      <c r="B11" s="648"/>
      <c r="C11" s="149"/>
      <c r="D11" s="164"/>
      <c r="E11" s="155"/>
      <c r="F11" s="644"/>
      <c r="G11" s="644"/>
      <c r="H11" s="644"/>
      <c r="I11" s="644"/>
      <c r="J11" s="644"/>
      <c r="K11" s="644"/>
      <c r="L11" s="654" t="s">
        <v>207</v>
      </c>
      <c r="M11" s="157"/>
      <c r="N11" s="141"/>
      <c r="O11" s="618" t="s">
        <v>181</v>
      </c>
      <c r="P11" s="618" t="s">
        <v>182</v>
      </c>
      <c r="Q11" s="618" t="s">
        <v>183</v>
      </c>
      <c r="R11" s="618" t="s">
        <v>184</v>
      </c>
      <c r="S11" s="618" t="s">
        <v>185</v>
      </c>
      <c r="T11" s="618" t="s">
        <v>186</v>
      </c>
      <c r="U11" s="152"/>
    </row>
    <row r="12" spans="1:22" ht="18" customHeight="1" x14ac:dyDescent="0.25">
      <c r="A12" s="138"/>
      <c r="B12" s="648"/>
      <c r="C12" s="158"/>
      <c r="D12" s="165"/>
      <c r="E12" s="159"/>
      <c r="F12" s="176"/>
      <c r="G12" s="170"/>
      <c r="H12" s="176" t="s">
        <v>199</v>
      </c>
      <c r="I12" s="170"/>
      <c r="J12" s="176" t="s">
        <v>200</v>
      </c>
      <c r="K12" s="170"/>
      <c r="L12" s="655"/>
      <c r="M12" s="160"/>
      <c r="N12" s="142"/>
      <c r="O12" s="619"/>
      <c r="P12" s="619"/>
      <c r="Q12" s="619"/>
      <c r="R12" s="619"/>
      <c r="S12" s="619"/>
      <c r="T12" s="619"/>
      <c r="U12" s="153"/>
      <c r="V12" s="138"/>
    </row>
    <row r="13" spans="1:22" ht="47.25" customHeight="1" x14ac:dyDescent="0.2">
      <c r="B13" s="648"/>
      <c r="C13" s="150"/>
      <c r="D13" s="620"/>
      <c r="E13" s="163"/>
      <c r="F13" s="620"/>
      <c r="G13" s="163"/>
      <c r="H13" s="622" t="s">
        <v>204</v>
      </c>
      <c r="I13" s="163"/>
      <c r="J13" s="622" t="s">
        <v>205</v>
      </c>
      <c r="K13" s="163"/>
      <c r="L13" s="167" t="s">
        <v>208</v>
      </c>
      <c r="M13" s="161"/>
      <c r="N13" s="142"/>
      <c r="O13" s="173"/>
      <c r="P13" s="173"/>
      <c r="Q13" s="173"/>
      <c r="R13" s="173"/>
      <c r="S13" s="173"/>
      <c r="T13" s="173"/>
      <c r="U13" s="153"/>
    </row>
    <row r="14" spans="1:22" ht="47.25" customHeight="1" x14ac:dyDescent="0.2">
      <c r="B14" s="648"/>
      <c r="C14" s="150"/>
      <c r="D14" s="620"/>
      <c r="E14" s="163"/>
      <c r="F14" s="620"/>
      <c r="G14" s="163"/>
      <c r="H14" s="623"/>
      <c r="I14" s="163"/>
      <c r="J14" s="623"/>
      <c r="K14" s="163"/>
      <c r="L14" s="167" t="s">
        <v>208</v>
      </c>
      <c r="M14" s="161"/>
      <c r="N14" s="142"/>
      <c r="O14" s="173"/>
      <c r="P14" s="173"/>
      <c r="Q14" s="173"/>
      <c r="R14" s="173"/>
      <c r="S14" s="173"/>
      <c r="T14" s="173"/>
      <c r="U14" s="153"/>
    </row>
    <row r="15" spans="1:22" ht="47.25" customHeight="1" thickBot="1" x14ac:dyDescent="0.25">
      <c r="B15" s="648"/>
      <c r="C15" s="150"/>
      <c r="D15" s="621"/>
      <c r="E15" s="163"/>
      <c r="F15" s="621"/>
      <c r="G15" s="163"/>
      <c r="H15" s="625"/>
      <c r="I15" s="163"/>
      <c r="J15" s="625"/>
      <c r="K15" s="163"/>
      <c r="L15" s="167" t="s">
        <v>208</v>
      </c>
      <c r="M15" s="161"/>
      <c r="N15" s="142"/>
      <c r="O15" s="173"/>
      <c r="P15" s="173"/>
      <c r="Q15" s="173"/>
      <c r="R15" s="173"/>
      <c r="S15" s="173"/>
      <c r="T15" s="173"/>
      <c r="U15" s="153"/>
    </row>
    <row r="16" spans="1:22" ht="18" customHeight="1" x14ac:dyDescent="0.3">
      <c r="B16" s="648"/>
      <c r="C16" s="149"/>
      <c r="D16" s="164"/>
      <c r="E16" s="155"/>
      <c r="F16" s="644"/>
      <c r="G16" s="644"/>
      <c r="H16" s="644"/>
      <c r="I16" s="644"/>
      <c r="J16" s="644"/>
      <c r="K16" s="644"/>
      <c r="L16" s="645" t="s">
        <v>209</v>
      </c>
      <c r="M16" s="157"/>
      <c r="N16" s="141"/>
      <c r="O16" s="618" t="s">
        <v>181</v>
      </c>
      <c r="P16" s="618" t="s">
        <v>182</v>
      </c>
      <c r="Q16" s="618" t="s">
        <v>183</v>
      </c>
      <c r="R16" s="618" t="s">
        <v>184</v>
      </c>
      <c r="S16" s="618" t="s">
        <v>185</v>
      </c>
      <c r="T16" s="618" t="s">
        <v>186</v>
      </c>
      <c r="U16" s="152"/>
    </row>
    <row r="17" spans="1:22" ht="18" customHeight="1" x14ac:dyDescent="0.25">
      <c r="A17" s="138"/>
      <c r="B17" s="648"/>
      <c r="C17" s="158"/>
      <c r="D17" s="165"/>
      <c r="E17" s="159"/>
      <c r="F17" s="176"/>
      <c r="G17" s="170"/>
      <c r="H17" s="176" t="s">
        <v>199</v>
      </c>
      <c r="I17" s="170"/>
      <c r="J17" s="176" t="s">
        <v>200</v>
      </c>
      <c r="K17" s="170"/>
      <c r="L17" s="646"/>
      <c r="M17" s="160"/>
      <c r="N17" s="142"/>
      <c r="O17" s="619"/>
      <c r="P17" s="619"/>
      <c r="Q17" s="619"/>
      <c r="R17" s="619"/>
      <c r="S17" s="619"/>
      <c r="T17" s="619"/>
      <c r="U17" s="153"/>
      <c r="V17" s="138"/>
    </row>
    <row r="18" spans="1:22" ht="47.25" customHeight="1" x14ac:dyDescent="0.2">
      <c r="B18" s="648"/>
      <c r="C18" s="150"/>
      <c r="D18" s="620"/>
      <c r="E18" s="163"/>
      <c r="F18" s="620"/>
      <c r="G18" s="163"/>
      <c r="H18" s="622" t="s">
        <v>204</v>
      </c>
      <c r="I18" s="163"/>
      <c r="J18" s="622" t="s">
        <v>205</v>
      </c>
      <c r="K18" s="163"/>
      <c r="L18" s="167" t="s">
        <v>210</v>
      </c>
      <c r="M18" s="161"/>
      <c r="N18" s="142"/>
      <c r="O18" s="173"/>
      <c r="P18" s="173"/>
      <c r="Q18" s="173"/>
      <c r="R18" s="173"/>
      <c r="S18" s="173"/>
      <c r="T18" s="173"/>
      <c r="U18" s="153"/>
    </row>
    <row r="19" spans="1:22" ht="47.25" customHeight="1" x14ac:dyDescent="0.2">
      <c r="B19" s="648"/>
      <c r="C19" s="150"/>
      <c r="D19" s="620"/>
      <c r="E19" s="163"/>
      <c r="F19" s="620"/>
      <c r="G19" s="163"/>
      <c r="H19" s="623"/>
      <c r="I19" s="163"/>
      <c r="J19" s="623"/>
      <c r="K19" s="163"/>
      <c r="L19" s="167" t="s">
        <v>210</v>
      </c>
      <c r="M19" s="161"/>
      <c r="N19" s="142"/>
      <c r="O19" s="173"/>
      <c r="P19" s="173"/>
      <c r="Q19" s="173"/>
      <c r="R19" s="173"/>
      <c r="S19" s="173"/>
      <c r="T19" s="173"/>
      <c r="U19" s="153"/>
    </row>
    <row r="20" spans="1:22" ht="47.25" customHeight="1" thickBot="1" x14ac:dyDescent="0.25">
      <c r="B20" s="649"/>
      <c r="C20" s="151"/>
      <c r="D20" s="621"/>
      <c r="E20" s="166"/>
      <c r="F20" s="621"/>
      <c r="G20" s="166"/>
      <c r="H20" s="625"/>
      <c r="I20" s="163"/>
      <c r="J20" s="625"/>
      <c r="K20" s="163"/>
      <c r="L20" s="167" t="s">
        <v>210</v>
      </c>
      <c r="M20" s="162"/>
      <c r="N20" s="143"/>
      <c r="O20" s="174"/>
      <c r="P20" s="174"/>
      <c r="Q20" s="174"/>
      <c r="R20" s="174"/>
      <c r="S20" s="174"/>
      <c r="T20" s="174"/>
      <c r="U20" s="154"/>
    </row>
  </sheetData>
  <sheetProtection algorithmName="SHA-512" hashValue="TVKme0pgYHd3ZqU1XUNTTc8DRjshdlxDqmkbAZr5Jacryp4nvrW0OktXVZViZ0kr/TN+tqv8fj62BNmgmj5G7w==" saltValue="ESWaEh3OlFY8I8hUhdgwMQ==" spinCount="100000" sheet="1" objects="1" scenarios="1"/>
  <mergeCells count="40">
    <mergeCell ref="S11:S12"/>
    <mergeCell ref="L11:L12"/>
    <mergeCell ref="S6:S7"/>
    <mergeCell ref="T6:T7"/>
    <mergeCell ref="D8:D10"/>
    <mergeCell ref="F8:F10"/>
    <mergeCell ref="H8:H10"/>
    <mergeCell ref="J8:J10"/>
    <mergeCell ref="R11:R12"/>
    <mergeCell ref="O11:O12"/>
    <mergeCell ref="P11:P12"/>
    <mergeCell ref="Q11:Q12"/>
    <mergeCell ref="L6:L7"/>
    <mergeCell ref="B3:B5"/>
    <mergeCell ref="N3:U5"/>
    <mergeCell ref="D4:L4"/>
    <mergeCell ref="B6:B20"/>
    <mergeCell ref="F6:K6"/>
    <mergeCell ref="O6:O7"/>
    <mergeCell ref="P6:P7"/>
    <mergeCell ref="Q6:Q7"/>
    <mergeCell ref="R6:R7"/>
    <mergeCell ref="S16:S17"/>
    <mergeCell ref="T11:T12"/>
    <mergeCell ref="D13:D15"/>
    <mergeCell ref="F13:F15"/>
    <mergeCell ref="H13:H15"/>
    <mergeCell ref="J13:J15"/>
    <mergeCell ref="F11:K11"/>
    <mergeCell ref="T16:T17"/>
    <mergeCell ref="D18:D20"/>
    <mergeCell ref="F18:F20"/>
    <mergeCell ref="H18:H20"/>
    <mergeCell ref="J18:J20"/>
    <mergeCell ref="F16:K16"/>
    <mergeCell ref="O16:O17"/>
    <mergeCell ref="P16:P17"/>
    <mergeCell ref="Q16:Q17"/>
    <mergeCell ref="R16:R17"/>
    <mergeCell ref="L16:L17"/>
  </mergeCells>
  <pageMargins left="0.7" right="0.7" top="0.75" bottom="0.75" header="0.3" footer="0.3"/>
  <pageSetup paperSize="5" scale="54"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pageSetUpPr fitToPage="1"/>
  </sheetPr>
  <dimension ref="A1:W52"/>
  <sheetViews>
    <sheetView showGridLines="0" zoomScale="80" zoomScaleNormal="80" workbookViewId="0">
      <selection activeCell="O12" sqref="O12"/>
    </sheetView>
  </sheetViews>
  <sheetFormatPr defaultColWidth="12.5703125" defaultRowHeight="15" x14ac:dyDescent="0.2"/>
  <cols>
    <col min="1" max="1" width="3.42578125" style="129" customWidth="1"/>
    <col min="2" max="2" width="18.85546875" style="139" customWidth="1"/>
    <col min="3" max="3" width="3.42578125" style="139" customWidth="1"/>
    <col min="4" max="4" width="24" style="139" customWidth="1"/>
    <col min="5" max="5" width="3.42578125" style="139" customWidth="1"/>
    <col min="6" max="6" width="24" style="139" customWidth="1"/>
    <col min="7" max="7" width="3.42578125" style="139" customWidth="1"/>
    <col min="8" max="8" width="24" style="139" customWidth="1"/>
    <col min="9" max="9" width="3.42578125" style="139" customWidth="1"/>
    <col min="10" max="10" width="24" style="139" customWidth="1"/>
    <col min="11" max="11" width="3.42578125" style="139" customWidth="1"/>
    <col min="12" max="12" width="24" style="139" customWidth="1"/>
    <col min="13" max="14" width="3.42578125" style="139" customWidth="1"/>
    <col min="15" max="15" width="34.85546875" style="140" customWidth="1"/>
    <col min="16" max="18" width="24" style="140" customWidth="1"/>
    <col min="19" max="19" width="16.7109375" style="140" customWidth="1"/>
    <col min="20" max="20" width="20.28515625" style="140" customWidth="1"/>
    <col min="21" max="21" width="3.42578125" style="140" customWidth="1"/>
    <col min="22" max="22" width="3.42578125" style="129" customWidth="1"/>
    <col min="23" max="16384" width="12.5703125" style="129"/>
  </cols>
  <sheetData>
    <row r="1" spans="1:22" x14ac:dyDescent="0.2">
      <c r="B1" s="130"/>
      <c r="C1" s="130"/>
      <c r="D1" s="130"/>
      <c r="E1" s="130"/>
      <c r="F1" s="130"/>
      <c r="G1" s="130"/>
      <c r="H1" s="130"/>
      <c r="I1" s="130"/>
      <c r="J1" s="130"/>
      <c r="K1" s="130"/>
      <c r="L1" s="130"/>
      <c r="M1" s="130"/>
      <c r="N1" s="130"/>
      <c r="O1" s="131"/>
      <c r="P1" s="131"/>
      <c r="Q1" s="131"/>
      <c r="R1" s="131"/>
      <c r="S1" s="131"/>
      <c r="T1" s="131"/>
      <c r="U1" s="131"/>
    </row>
    <row r="2" spans="1:22" s="132" customFormat="1" ht="28.5" thickBot="1" x14ac:dyDescent="0.3">
      <c r="B2" s="133" t="s">
        <v>173</v>
      </c>
      <c r="C2" s="134"/>
      <c r="D2" s="134"/>
      <c r="E2" s="134"/>
      <c r="F2" s="134"/>
      <c r="G2" s="134"/>
      <c r="H2" s="135"/>
      <c r="I2" s="136"/>
      <c r="J2" s="136"/>
      <c r="K2" s="136"/>
      <c r="L2" s="134"/>
      <c r="M2" s="134"/>
      <c r="N2" s="136"/>
      <c r="O2" s="137"/>
      <c r="P2" s="137"/>
      <c r="Q2" s="137"/>
      <c r="R2" s="137"/>
      <c r="S2" s="137"/>
      <c r="T2" s="137"/>
      <c r="U2" s="137"/>
    </row>
    <row r="3" spans="1:22" ht="18" customHeight="1" x14ac:dyDescent="0.2">
      <c r="B3" s="647" t="s">
        <v>174</v>
      </c>
      <c r="C3" s="141"/>
      <c r="D3" s="145"/>
      <c r="E3" s="145"/>
      <c r="F3" s="145"/>
      <c r="G3" s="145"/>
      <c r="H3" s="145"/>
      <c r="I3" s="145"/>
      <c r="J3" s="145"/>
      <c r="K3" s="145"/>
      <c r="L3" s="145"/>
      <c r="M3" s="146"/>
      <c r="N3" s="632"/>
      <c r="O3" s="633"/>
      <c r="P3" s="633"/>
      <c r="Q3" s="633"/>
      <c r="R3" s="633"/>
      <c r="S3" s="633"/>
      <c r="T3" s="633"/>
      <c r="U3" s="634"/>
    </row>
    <row r="4" spans="1:22" ht="72" customHeight="1" x14ac:dyDescent="0.2">
      <c r="B4" s="648"/>
      <c r="C4" s="142"/>
      <c r="D4" s="650" t="str">
        <f>'Intake Form'!C4</f>
        <v>CloudMed DRG Validation &amp; Underpayment Implementation</v>
      </c>
      <c r="E4" s="651"/>
      <c r="F4" s="651"/>
      <c r="G4" s="651"/>
      <c r="H4" s="651"/>
      <c r="I4" s="651"/>
      <c r="J4" s="651"/>
      <c r="K4" s="651"/>
      <c r="L4" s="652"/>
      <c r="M4" s="147"/>
      <c r="N4" s="635"/>
      <c r="O4" s="636"/>
      <c r="P4" s="636"/>
      <c r="Q4" s="636"/>
      <c r="R4" s="636"/>
      <c r="S4" s="636"/>
      <c r="T4" s="636"/>
      <c r="U4" s="637"/>
    </row>
    <row r="5" spans="1:22" ht="18" customHeight="1" thickBot="1" x14ac:dyDescent="0.25">
      <c r="B5" s="649"/>
      <c r="C5" s="143"/>
      <c r="D5" s="144"/>
      <c r="E5" s="144"/>
      <c r="F5" s="144"/>
      <c r="G5" s="144"/>
      <c r="H5" s="144"/>
      <c r="I5" s="144"/>
      <c r="J5" s="144"/>
      <c r="K5" s="144"/>
      <c r="L5" s="144"/>
      <c r="M5" s="148"/>
      <c r="N5" s="638"/>
      <c r="O5" s="639"/>
      <c r="P5" s="639"/>
      <c r="Q5" s="639"/>
      <c r="R5" s="639"/>
      <c r="S5" s="639"/>
      <c r="T5" s="639"/>
      <c r="U5" s="640"/>
    </row>
    <row r="6" spans="1:22" ht="18" customHeight="1" x14ac:dyDescent="0.25">
      <c r="B6" s="647" t="s">
        <v>211</v>
      </c>
      <c r="C6" s="149"/>
      <c r="D6" s="164"/>
      <c r="E6" s="155"/>
      <c r="F6" s="156"/>
      <c r="G6" s="156"/>
      <c r="H6" s="156"/>
      <c r="I6" s="156"/>
      <c r="J6" s="156"/>
      <c r="K6" s="156"/>
      <c r="L6" s="200"/>
      <c r="M6" s="157"/>
      <c r="N6" s="141"/>
      <c r="O6" s="658"/>
      <c r="P6" s="658"/>
      <c r="Q6" s="658"/>
      <c r="R6" s="658"/>
      <c r="S6" s="658"/>
      <c r="T6" s="658"/>
      <c r="U6" s="152"/>
    </row>
    <row r="7" spans="1:22" ht="18" customHeight="1" x14ac:dyDescent="0.25">
      <c r="A7" s="138"/>
      <c r="B7" s="648"/>
      <c r="C7" s="158"/>
      <c r="D7" s="201" t="s">
        <v>212</v>
      </c>
      <c r="E7" s="170"/>
      <c r="F7" s="176" t="s">
        <v>213</v>
      </c>
      <c r="G7" s="170"/>
      <c r="H7" s="176" t="s">
        <v>214</v>
      </c>
      <c r="I7" s="170"/>
      <c r="J7" s="176" t="s">
        <v>215</v>
      </c>
      <c r="K7" s="170"/>
      <c r="L7" s="176" t="s">
        <v>216</v>
      </c>
      <c r="M7" s="160"/>
      <c r="N7" s="142"/>
      <c r="O7" s="659"/>
      <c r="P7" s="659"/>
      <c r="Q7" s="659"/>
      <c r="R7" s="659"/>
      <c r="S7" s="659"/>
      <c r="T7" s="659"/>
      <c r="U7" s="153"/>
      <c r="V7" s="138"/>
    </row>
    <row r="8" spans="1:22" ht="47.25" customHeight="1" x14ac:dyDescent="0.2">
      <c r="B8" s="648"/>
      <c r="C8" s="150"/>
      <c r="D8" s="622" t="s">
        <v>217</v>
      </c>
      <c r="E8" s="163"/>
      <c r="F8" s="622" t="s">
        <v>218</v>
      </c>
      <c r="G8" s="163"/>
      <c r="H8" s="622" t="s">
        <v>219</v>
      </c>
      <c r="I8" s="163"/>
      <c r="J8" s="622" t="s">
        <v>220</v>
      </c>
      <c r="K8" s="163"/>
      <c r="L8" s="622" t="s">
        <v>221</v>
      </c>
      <c r="M8" s="161"/>
      <c r="N8" s="142"/>
      <c r="O8" s="194"/>
      <c r="P8" s="194"/>
      <c r="Q8" s="194"/>
      <c r="R8" s="194"/>
      <c r="S8" s="194"/>
      <c r="T8" s="194"/>
      <c r="U8" s="153"/>
    </row>
    <row r="9" spans="1:22" ht="47.25" customHeight="1" x14ac:dyDescent="0.2">
      <c r="B9" s="648"/>
      <c r="C9" s="150"/>
      <c r="D9" s="623"/>
      <c r="E9" s="163"/>
      <c r="F9" s="623"/>
      <c r="G9" s="163"/>
      <c r="H9" s="623"/>
      <c r="I9" s="163"/>
      <c r="J9" s="623"/>
      <c r="K9" s="163"/>
      <c r="L9" s="623"/>
      <c r="M9" s="161"/>
      <c r="N9" s="142"/>
      <c r="O9" s="194"/>
      <c r="P9" s="194"/>
      <c r="Q9" s="194"/>
      <c r="R9" s="194"/>
      <c r="S9" s="194"/>
      <c r="T9" s="194"/>
      <c r="U9" s="153"/>
    </row>
    <row r="10" spans="1:22" ht="47.25" customHeight="1" thickBot="1" x14ac:dyDescent="0.25">
      <c r="B10" s="648"/>
      <c r="C10" s="150"/>
      <c r="D10" s="624"/>
      <c r="E10" s="163"/>
      <c r="F10" s="624"/>
      <c r="G10" s="163"/>
      <c r="H10" s="625"/>
      <c r="I10" s="163"/>
      <c r="J10" s="625"/>
      <c r="K10" s="163"/>
      <c r="L10" s="625"/>
      <c r="M10" s="161"/>
      <c r="N10" s="142"/>
      <c r="O10" s="656" t="s">
        <v>181</v>
      </c>
      <c r="P10" s="656" t="s">
        <v>182</v>
      </c>
      <c r="Q10" s="656" t="s">
        <v>183</v>
      </c>
      <c r="R10" s="656" t="s">
        <v>184</v>
      </c>
      <c r="S10" s="656" t="s">
        <v>185</v>
      </c>
      <c r="T10" s="656" t="s">
        <v>186</v>
      </c>
      <c r="U10" s="153"/>
    </row>
    <row r="11" spans="1:22" ht="17.25" customHeight="1" x14ac:dyDescent="0.2">
      <c r="B11" s="648"/>
      <c r="C11" s="150"/>
      <c r="D11" s="199"/>
      <c r="E11" s="163"/>
      <c r="F11" s="197"/>
      <c r="G11" s="163"/>
      <c r="H11" s="197"/>
      <c r="I11" s="163"/>
      <c r="J11" s="197"/>
      <c r="K11" s="163"/>
      <c r="L11" s="197"/>
      <c r="M11" s="161"/>
      <c r="N11" s="142"/>
      <c r="O11" s="656"/>
      <c r="P11" s="656"/>
      <c r="Q11" s="656"/>
      <c r="R11" s="656"/>
      <c r="S11" s="656"/>
      <c r="T11" s="656"/>
      <c r="U11" s="153"/>
    </row>
    <row r="12" spans="1:22" ht="15.75" customHeight="1" x14ac:dyDescent="0.2">
      <c r="B12" s="648"/>
      <c r="C12" s="150"/>
      <c r="D12" s="199"/>
      <c r="E12" s="163"/>
      <c r="F12" s="661" t="s">
        <v>222</v>
      </c>
      <c r="G12" s="661"/>
      <c r="H12" s="661"/>
      <c r="I12" s="177"/>
      <c r="J12" s="178"/>
      <c r="K12" s="177"/>
      <c r="L12" s="178"/>
      <c r="M12" s="179"/>
      <c r="N12" s="180"/>
      <c r="O12" s="192"/>
      <c r="P12" s="192"/>
      <c r="Q12" s="192"/>
      <c r="R12" s="192"/>
      <c r="S12" s="192"/>
      <c r="T12" s="192"/>
      <c r="U12" s="153"/>
    </row>
    <row r="13" spans="1:22" ht="15.75" customHeight="1" x14ac:dyDescent="0.2">
      <c r="B13" s="648"/>
      <c r="C13" s="150"/>
      <c r="D13" s="199"/>
      <c r="E13" s="163"/>
      <c r="F13" s="661" t="s">
        <v>223</v>
      </c>
      <c r="G13" s="661"/>
      <c r="H13" s="661"/>
      <c r="I13" s="177"/>
      <c r="J13" s="178"/>
      <c r="K13" s="177"/>
      <c r="L13" s="178"/>
      <c r="M13" s="179"/>
      <c r="N13" s="180"/>
      <c r="O13" s="192"/>
      <c r="P13" s="192"/>
      <c r="Q13" s="192"/>
      <c r="R13" s="192"/>
      <c r="S13" s="192"/>
      <c r="T13" s="192"/>
      <c r="U13" s="153"/>
    </row>
    <row r="14" spans="1:22" ht="15.75" customHeight="1" x14ac:dyDescent="0.2">
      <c r="B14" s="648"/>
      <c r="C14" s="150"/>
      <c r="D14" s="199"/>
      <c r="E14" s="163"/>
      <c r="F14" s="197"/>
      <c r="G14" s="163"/>
      <c r="H14" s="661" t="s">
        <v>224</v>
      </c>
      <c r="I14" s="661"/>
      <c r="J14" s="661"/>
      <c r="K14" s="181"/>
      <c r="L14" s="182"/>
      <c r="M14" s="183"/>
      <c r="N14" s="184"/>
      <c r="O14" s="173"/>
      <c r="P14" s="173"/>
      <c r="Q14" s="173"/>
      <c r="R14" s="173"/>
      <c r="S14" s="173"/>
      <c r="T14" s="173"/>
      <c r="U14" s="153"/>
    </row>
    <row r="15" spans="1:22" ht="15.75" customHeight="1" x14ac:dyDescent="0.2">
      <c r="B15" s="648"/>
      <c r="C15" s="150"/>
      <c r="D15" s="199"/>
      <c r="E15" s="163"/>
      <c r="F15" s="197"/>
      <c r="G15" s="163"/>
      <c r="H15" s="661" t="s">
        <v>225</v>
      </c>
      <c r="I15" s="661"/>
      <c r="J15" s="661"/>
      <c r="K15" s="181"/>
      <c r="L15" s="182"/>
      <c r="M15" s="183"/>
      <c r="N15" s="184"/>
      <c r="O15" s="173"/>
      <c r="P15" s="173"/>
      <c r="Q15" s="173"/>
      <c r="R15" s="173"/>
      <c r="S15" s="173"/>
      <c r="T15" s="173"/>
      <c r="U15" s="153"/>
    </row>
    <row r="16" spans="1:22" ht="15.75" customHeight="1" x14ac:dyDescent="0.2">
      <c r="B16" s="648"/>
      <c r="C16" s="150"/>
      <c r="D16" s="199"/>
      <c r="E16" s="163"/>
      <c r="F16" s="197"/>
      <c r="G16" s="163"/>
      <c r="H16" s="661" t="s">
        <v>226</v>
      </c>
      <c r="I16" s="661"/>
      <c r="J16" s="661"/>
      <c r="K16" s="181"/>
      <c r="L16" s="182"/>
      <c r="M16" s="183"/>
      <c r="N16" s="184"/>
      <c r="O16" s="173"/>
      <c r="P16" s="173"/>
      <c r="Q16" s="173"/>
      <c r="R16" s="173"/>
      <c r="S16" s="173"/>
      <c r="T16" s="173"/>
      <c r="U16" s="153"/>
    </row>
    <row r="17" spans="2:21" ht="15.75" customHeight="1" x14ac:dyDescent="0.2">
      <c r="B17" s="648"/>
      <c r="C17" s="150"/>
      <c r="D17" s="199"/>
      <c r="E17" s="163"/>
      <c r="F17" s="197"/>
      <c r="G17" s="163"/>
      <c r="H17" s="661" t="s">
        <v>227</v>
      </c>
      <c r="I17" s="661"/>
      <c r="J17" s="661"/>
      <c r="K17" s="181"/>
      <c r="L17" s="182"/>
      <c r="M17" s="183"/>
      <c r="N17" s="184"/>
      <c r="O17" s="173"/>
      <c r="P17" s="173"/>
      <c r="Q17" s="173"/>
      <c r="R17" s="173"/>
      <c r="S17" s="173"/>
      <c r="T17" s="173"/>
      <c r="U17" s="153"/>
    </row>
    <row r="18" spans="2:21" ht="15.75" customHeight="1" x14ac:dyDescent="0.2">
      <c r="B18" s="648"/>
      <c r="C18" s="150"/>
      <c r="D18" s="199"/>
      <c r="E18" s="163"/>
      <c r="F18" s="197"/>
      <c r="G18" s="163"/>
      <c r="H18" s="197"/>
      <c r="I18" s="163"/>
      <c r="J18" s="661" t="s">
        <v>228</v>
      </c>
      <c r="K18" s="661"/>
      <c r="L18" s="661"/>
      <c r="M18" s="185"/>
      <c r="N18" s="186"/>
      <c r="O18" s="173"/>
      <c r="P18" s="173"/>
      <c r="Q18" s="173"/>
      <c r="R18" s="173"/>
      <c r="S18" s="173"/>
      <c r="T18" s="173"/>
      <c r="U18" s="153"/>
    </row>
    <row r="19" spans="2:21" ht="15.75" customHeight="1" x14ac:dyDescent="0.2">
      <c r="B19" s="648"/>
      <c r="C19" s="150"/>
      <c r="D19" s="199"/>
      <c r="E19" s="163"/>
      <c r="F19" s="197"/>
      <c r="G19" s="163"/>
      <c r="H19" s="197"/>
      <c r="I19" s="163"/>
      <c r="J19" s="661" t="s">
        <v>229</v>
      </c>
      <c r="K19" s="661"/>
      <c r="L19" s="661"/>
      <c r="M19" s="185"/>
      <c r="N19" s="186"/>
      <c r="O19" s="173"/>
      <c r="P19" s="173"/>
      <c r="Q19" s="173"/>
      <c r="R19" s="173"/>
      <c r="S19" s="173"/>
      <c r="T19" s="173"/>
      <c r="U19" s="153"/>
    </row>
    <row r="20" spans="2:21" ht="16.5" customHeight="1" thickBot="1" x14ac:dyDescent="0.25">
      <c r="B20" s="648"/>
      <c r="C20" s="150"/>
      <c r="D20" s="199"/>
      <c r="E20" s="163"/>
      <c r="F20" s="197"/>
      <c r="G20" s="163"/>
      <c r="H20" s="197"/>
      <c r="I20" s="163"/>
      <c r="J20" s="661" t="s">
        <v>230</v>
      </c>
      <c r="K20" s="661"/>
      <c r="L20" s="664"/>
      <c r="M20" s="185"/>
      <c r="N20" s="187"/>
      <c r="O20" s="174"/>
      <c r="P20" s="174"/>
      <c r="Q20" s="174"/>
      <c r="R20" s="174"/>
      <c r="S20" s="174"/>
      <c r="T20" s="174"/>
      <c r="U20" s="154"/>
    </row>
    <row r="21" spans="2:21" x14ac:dyDescent="0.2">
      <c r="B21" s="648"/>
      <c r="C21" s="150"/>
      <c r="D21" s="199"/>
      <c r="E21" s="163"/>
      <c r="F21" s="156"/>
      <c r="G21" s="156"/>
      <c r="H21" s="156"/>
      <c r="I21" s="156"/>
      <c r="J21" s="156"/>
      <c r="K21" s="202"/>
      <c r="L21" s="645" t="s">
        <v>216</v>
      </c>
      <c r="M21" s="157"/>
      <c r="N21" s="141"/>
      <c r="O21" s="618"/>
      <c r="P21" s="618"/>
      <c r="Q21" s="618"/>
      <c r="R21" s="618"/>
      <c r="S21" s="618"/>
      <c r="T21" s="618"/>
      <c r="U21" s="152"/>
    </row>
    <row r="22" spans="2:21" ht="21" customHeight="1" x14ac:dyDescent="0.25">
      <c r="B22" s="648"/>
      <c r="C22" s="150"/>
      <c r="D22" s="199"/>
      <c r="E22" s="163"/>
      <c r="F22" s="176" t="s">
        <v>213</v>
      </c>
      <c r="G22" s="170"/>
      <c r="H22" s="176" t="s">
        <v>214</v>
      </c>
      <c r="I22" s="170"/>
      <c r="J22" s="176" t="s">
        <v>215</v>
      </c>
      <c r="K22" s="170"/>
      <c r="L22" s="660"/>
      <c r="M22" s="160"/>
      <c r="N22" s="142"/>
      <c r="O22" s="657"/>
      <c r="P22" s="657"/>
      <c r="Q22" s="657"/>
      <c r="R22" s="657"/>
      <c r="S22" s="657"/>
      <c r="T22" s="657"/>
      <c r="U22" s="153"/>
    </row>
    <row r="23" spans="2:21" ht="39.75" customHeight="1" x14ac:dyDescent="0.2">
      <c r="B23" s="648"/>
      <c r="C23" s="150"/>
      <c r="D23" s="199"/>
      <c r="E23" s="163"/>
      <c r="F23" s="622" t="s">
        <v>218</v>
      </c>
      <c r="G23" s="163"/>
      <c r="H23" s="622" t="s">
        <v>219</v>
      </c>
      <c r="I23" s="163"/>
      <c r="J23" s="622" t="s">
        <v>220</v>
      </c>
      <c r="K23" s="163"/>
      <c r="L23" s="622" t="s">
        <v>221</v>
      </c>
      <c r="M23" s="161"/>
      <c r="N23" s="142"/>
      <c r="O23" s="195"/>
      <c r="P23" s="195"/>
      <c r="Q23" s="195"/>
      <c r="R23" s="195"/>
      <c r="S23" s="195"/>
      <c r="T23" s="195"/>
      <c r="U23" s="153"/>
    </row>
    <row r="24" spans="2:21" ht="39.75" customHeight="1" x14ac:dyDescent="0.2">
      <c r="B24" s="648"/>
      <c r="C24" s="150"/>
      <c r="D24" s="199"/>
      <c r="E24" s="163"/>
      <c r="F24" s="623"/>
      <c r="G24" s="163"/>
      <c r="H24" s="623"/>
      <c r="I24" s="163"/>
      <c r="J24" s="623"/>
      <c r="K24" s="163"/>
      <c r="L24" s="623"/>
      <c r="M24" s="161"/>
      <c r="N24" s="142"/>
      <c r="O24" s="195"/>
      <c r="P24" s="195"/>
      <c r="Q24" s="195"/>
      <c r="R24" s="195"/>
      <c r="S24" s="195"/>
      <c r="T24" s="195"/>
      <c r="U24" s="153"/>
    </row>
    <row r="25" spans="2:21" ht="39.75" customHeight="1" thickBot="1" x14ac:dyDescent="0.25">
      <c r="B25" s="648"/>
      <c r="C25" s="150"/>
      <c r="D25" s="199"/>
      <c r="E25" s="163"/>
      <c r="F25" s="624"/>
      <c r="G25" s="163"/>
      <c r="H25" s="625"/>
      <c r="I25" s="163"/>
      <c r="J25" s="625"/>
      <c r="K25" s="163"/>
      <c r="L25" s="625"/>
      <c r="M25" s="161"/>
      <c r="N25" s="142"/>
      <c r="O25" s="656" t="s">
        <v>181</v>
      </c>
      <c r="P25" s="656" t="s">
        <v>182</v>
      </c>
      <c r="Q25" s="656" t="s">
        <v>183</v>
      </c>
      <c r="R25" s="656" t="s">
        <v>184</v>
      </c>
      <c r="S25" s="656" t="s">
        <v>185</v>
      </c>
      <c r="T25" s="656" t="s">
        <v>186</v>
      </c>
      <c r="U25" s="153"/>
    </row>
    <row r="26" spans="2:21" x14ac:dyDescent="0.2">
      <c r="B26" s="648"/>
      <c r="C26" s="150"/>
      <c r="D26" s="199"/>
      <c r="E26" s="163"/>
      <c r="F26" s="197"/>
      <c r="G26" s="163"/>
      <c r="H26" s="197"/>
      <c r="I26" s="163"/>
      <c r="J26" s="197"/>
      <c r="K26" s="163"/>
      <c r="L26" s="197"/>
      <c r="M26" s="161"/>
      <c r="N26" s="142"/>
      <c r="O26" s="656"/>
      <c r="P26" s="656"/>
      <c r="Q26" s="656"/>
      <c r="R26" s="656"/>
      <c r="S26" s="656"/>
      <c r="T26" s="656"/>
      <c r="U26" s="153"/>
    </row>
    <row r="27" spans="2:21" ht="15.75" customHeight="1" x14ac:dyDescent="0.2">
      <c r="B27" s="648"/>
      <c r="C27" s="150"/>
      <c r="D27" s="199"/>
      <c r="E27" s="163"/>
      <c r="F27" s="661" t="s">
        <v>222</v>
      </c>
      <c r="G27" s="661"/>
      <c r="H27" s="661"/>
      <c r="I27" s="177"/>
      <c r="J27" s="178"/>
      <c r="K27" s="177"/>
      <c r="L27" s="178"/>
      <c r="M27" s="179"/>
      <c r="N27" s="180"/>
      <c r="O27" s="192"/>
      <c r="P27" s="192"/>
      <c r="Q27" s="192"/>
      <c r="R27" s="192"/>
      <c r="S27" s="192"/>
      <c r="T27" s="192"/>
      <c r="U27" s="153"/>
    </row>
    <row r="28" spans="2:21" ht="15.75" customHeight="1" x14ac:dyDescent="0.2">
      <c r="B28" s="648"/>
      <c r="C28" s="150"/>
      <c r="D28" s="199"/>
      <c r="E28" s="163"/>
      <c r="F28" s="661" t="s">
        <v>223</v>
      </c>
      <c r="G28" s="661"/>
      <c r="H28" s="661"/>
      <c r="I28" s="177"/>
      <c r="J28" s="178"/>
      <c r="K28" s="177"/>
      <c r="L28" s="178"/>
      <c r="M28" s="179"/>
      <c r="N28" s="180"/>
      <c r="O28" s="192"/>
      <c r="P28" s="192"/>
      <c r="Q28" s="192"/>
      <c r="R28" s="192"/>
      <c r="S28" s="192"/>
      <c r="T28" s="192"/>
      <c r="U28" s="153"/>
    </row>
    <row r="29" spans="2:21" ht="15.75" customHeight="1" x14ac:dyDescent="0.2">
      <c r="B29" s="648"/>
      <c r="C29" s="150"/>
      <c r="D29" s="199"/>
      <c r="E29" s="163"/>
      <c r="F29" s="197"/>
      <c r="G29" s="163"/>
      <c r="H29" s="661" t="s">
        <v>224</v>
      </c>
      <c r="I29" s="661"/>
      <c r="J29" s="661"/>
      <c r="K29" s="181"/>
      <c r="L29" s="182"/>
      <c r="M29" s="183"/>
      <c r="N29" s="184"/>
      <c r="O29" s="173"/>
      <c r="P29" s="173"/>
      <c r="Q29" s="173"/>
      <c r="R29" s="173"/>
      <c r="S29" s="173"/>
      <c r="T29" s="173"/>
      <c r="U29" s="153"/>
    </row>
    <row r="30" spans="2:21" ht="15.75" customHeight="1" x14ac:dyDescent="0.2">
      <c r="B30" s="648"/>
      <c r="C30" s="150"/>
      <c r="D30" s="199"/>
      <c r="E30" s="163"/>
      <c r="F30" s="197"/>
      <c r="G30" s="163"/>
      <c r="H30" s="661" t="s">
        <v>225</v>
      </c>
      <c r="I30" s="661"/>
      <c r="J30" s="661"/>
      <c r="K30" s="181"/>
      <c r="L30" s="182"/>
      <c r="M30" s="183"/>
      <c r="N30" s="184"/>
      <c r="O30" s="173"/>
      <c r="P30" s="173"/>
      <c r="Q30" s="173"/>
      <c r="R30" s="173"/>
      <c r="S30" s="173"/>
      <c r="T30" s="173"/>
      <c r="U30" s="153"/>
    </row>
    <row r="31" spans="2:21" ht="15.75" customHeight="1" x14ac:dyDescent="0.2">
      <c r="B31" s="648"/>
      <c r="C31" s="150"/>
      <c r="D31" s="199"/>
      <c r="E31" s="163"/>
      <c r="F31" s="197"/>
      <c r="G31" s="163"/>
      <c r="H31" s="661" t="s">
        <v>226</v>
      </c>
      <c r="I31" s="661"/>
      <c r="J31" s="661"/>
      <c r="K31" s="181"/>
      <c r="L31" s="182"/>
      <c r="M31" s="183"/>
      <c r="N31" s="184"/>
      <c r="O31" s="173"/>
      <c r="P31" s="173"/>
      <c r="Q31" s="173"/>
      <c r="R31" s="173"/>
      <c r="S31" s="173"/>
      <c r="T31" s="173"/>
      <c r="U31" s="153"/>
    </row>
    <row r="32" spans="2:21" ht="15.75" customHeight="1" x14ac:dyDescent="0.2">
      <c r="B32" s="648"/>
      <c r="C32" s="150"/>
      <c r="D32" s="199"/>
      <c r="E32" s="163"/>
      <c r="F32" s="197"/>
      <c r="G32" s="163"/>
      <c r="H32" s="661" t="s">
        <v>227</v>
      </c>
      <c r="I32" s="661"/>
      <c r="J32" s="661"/>
      <c r="K32" s="181"/>
      <c r="L32" s="182"/>
      <c r="M32" s="183"/>
      <c r="N32" s="184"/>
      <c r="O32" s="173"/>
      <c r="P32" s="173"/>
      <c r="Q32" s="173"/>
      <c r="R32" s="173"/>
      <c r="S32" s="173"/>
      <c r="T32" s="173"/>
      <c r="U32" s="153"/>
    </row>
    <row r="33" spans="2:23" ht="15.75" customHeight="1" x14ac:dyDescent="0.2">
      <c r="B33" s="648"/>
      <c r="C33" s="150"/>
      <c r="D33" s="199"/>
      <c r="E33" s="163"/>
      <c r="F33" s="197"/>
      <c r="G33" s="163"/>
      <c r="H33" s="197"/>
      <c r="I33" s="163"/>
      <c r="J33" s="661" t="s">
        <v>228</v>
      </c>
      <c r="K33" s="661"/>
      <c r="L33" s="661"/>
      <c r="M33" s="185"/>
      <c r="N33" s="186"/>
      <c r="O33" s="173"/>
      <c r="P33" s="173"/>
      <c r="Q33" s="173"/>
      <c r="R33" s="173"/>
      <c r="S33" s="173"/>
      <c r="T33" s="173"/>
      <c r="U33" s="153"/>
    </row>
    <row r="34" spans="2:23" ht="15.75" customHeight="1" x14ac:dyDescent="0.2">
      <c r="B34" s="648"/>
      <c r="C34" s="150"/>
      <c r="D34" s="199"/>
      <c r="E34" s="163"/>
      <c r="F34" s="197"/>
      <c r="G34" s="163"/>
      <c r="H34" s="197"/>
      <c r="I34" s="163"/>
      <c r="J34" s="661" t="s">
        <v>229</v>
      </c>
      <c r="K34" s="661"/>
      <c r="L34" s="661"/>
      <c r="M34" s="185"/>
      <c r="N34" s="186"/>
      <c r="O34" s="173"/>
      <c r="P34" s="173"/>
      <c r="Q34" s="173"/>
      <c r="R34" s="173"/>
      <c r="S34" s="173"/>
      <c r="T34" s="173"/>
      <c r="U34" s="153"/>
    </row>
    <row r="35" spans="2:23" ht="16.5" customHeight="1" thickBot="1" x14ac:dyDescent="0.25">
      <c r="B35" s="648"/>
      <c r="C35" s="150"/>
      <c r="D35" s="199"/>
      <c r="E35" s="163"/>
      <c r="F35" s="197"/>
      <c r="G35" s="163"/>
      <c r="H35" s="197"/>
      <c r="I35" s="163"/>
      <c r="J35" s="662" t="s">
        <v>230</v>
      </c>
      <c r="K35" s="662"/>
      <c r="L35" s="663"/>
      <c r="M35" s="185"/>
      <c r="N35" s="187"/>
      <c r="O35" s="193"/>
      <c r="P35" s="193"/>
      <c r="Q35" s="193"/>
      <c r="R35" s="193"/>
      <c r="S35" s="193"/>
      <c r="T35" s="193"/>
      <c r="U35" s="153"/>
      <c r="W35" s="188"/>
    </row>
    <row r="36" spans="2:23" ht="15.75" customHeight="1" x14ac:dyDescent="0.3">
      <c r="B36" s="648"/>
      <c r="C36" s="150"/>
      <c r="D36" s="199"/>
      <c r="E36" s="163"/>
      <c r="F36" s="169"/>
      <c r="G36" s="169"/>
      <c r="H36" s="169"/>
      <c r="I36" s="169"/>
      <c r="J36" s="169"/>
      <c r="K36" s="169"/>
      <c r="L36" s="645" t="s">
        <v>216</v>
      </c>
      <c r="M36" s="157"/>
      <c r="N36" s="141"/>
      <c r="O36" s="618"/>
      <c r="P36" s="618"/>
      <c r="Q36" s="618"/>
      <c r="R36" s="618"/>
      <c r="S36" s="618"/>
      <c r="T36" s="618"/>
      <c r="U36" s="153"/>
      <c r="V36" s="189"/>
      <c r="W36" s="188"/>
    </row>
    <row r="37" spans="2:23" ht="22.5" customHeight="1" x14ac:dyDescent="0.25">
      <c r="B37" s="648"/>
      <c r="C37" s="150"/>
      <c r="D37" s="199"/>
      <c r="E37" s="163"/>
      <c r="F37" s="176" t="s">
        <v>213</v>
      </c>
      <c r="G37" s="170"/>
      <c r="H37" s="176" t="s">
        <v>214</v>
      </c>
      <c r="I37" s="170"/>
      <c r="J37" s="176" t="s">
        <v>215</v>
      </c>
      <c r="K37" s="170"/>
      <c r="L37" s="660"/>
      <c r="M37" s="160"/>
      <c r="N37" s="142"/>
      <c r="O37" s="657"/>
      <c r="P37" s="657"/>
      <c r="Q37" s="657"/>
      <c r="R37" s="657"/>
      <c r="S37" s="657"/>
      <c r="T37" s="657"/>
      <c r="U37" s="153"/>
      <c r="V37" s="190"/>
      <c r="W37" s="188"/>
    </row>
    <row r="38" spans="2:23" ht="45.75" customHeight="1" x14ac:dyDescent="0.2">
      <c r="B38" s="648"/>
      <c r="C38" s="150"/>
      <c r="D38" s="199"/>
      <c r="E38" s="163"/>
      <c r="F38" s="622" t="s">
        <v>218</v>
      </c>
      <c r="G38" s="163"/>
      <c r="H38" s="622" t="s">
        <v>219</v>
      </c>
      <c r="I38" s="163"/>
      <c r="J38" s="622" t="s">
        <v>220</v>
      </c>
      <c r="K38" s="163"/>
      <c r="L38" s="622" t="s">
        <v>221</v>
      </c>
      <c r="M38" s="161"/>
      <c r="N38" s="142"/>
      <c r="O38" s="195"/>
      <c r="P38" s="195"/>
      <c r="Q38" s="195"/>
      <c r="R38" s="195"/>
      <c r="S38" s="195"/>
      <c r="T38" s="195"/>
      <c r="U38" s="153"/>
      <c r="V38" s="190"/>
      <c r="W38" s="188"/>
    </row>
    <row r="39" spans="2:23" ht="45.75" customHeight="1" x14ac:dyDescent="0.2">
      <c r="B39" s="648"/>
      <c r="C39" s="150"/>
      <c r="D39" s="199"/>
      <c r="E39" s="163"/>
      <c r="F39" s="623"/>
      <c r="G39" s="163"/>
      <c r="H39" s="623"/>
      <c r="I39" s="163"/>
      <c r="J39" s="623"/>
      <c r="K39" s="163"/>
      <c r="L39" s="623"/>
      <c r="M39" s="161"/>
      <c r="N39" s="142"/>
      <c r="O39" s="195"/>
      <c r="P39" s="195"/>
      <c r="Q39" s="195"/>
      <c r="R39" s="195"/>
      <c r="S39" s="195"/>
      <c r="T39" s="195"/>
      <c r="U39" s="153"/>
      <c r="V39" s="190"/>
      <c r="W39" s="188"/>
    </row>
    <row r="40" spans="2:23" ht="45.75" customHeight="1" thickBot="1" x14ac:dyDescent="0.25">
      <c r="B40" s="648"/>
      <c r="C40" s="150"/>
      <c r="D40" s="199"/>
      <c r="E40" s="163"/>
      <c r="F40" s="624"/>
      <c r="G40" s="163"/>
      <c r="H40" s="625"/>
      <c r="I40" s="163"/>
      <c r="J40" s="625"/>
      <c r="K40" s="163"/>
      <c r="L40" s="625"/>
      <c r="M40" s="161"/>
      <c r="N40" s="142"/>
      <c r="O40" s="656" t="s">
        <v>181</v>
      </c>
      <c r="P40" s="656" t="s">
        <v>182</v>
      </c>
      <c r="Q40" s="656" t="s">
        <v>183</v>
      </c>
      <c r="R40" s="656" t="s">
        <v>184</v>
      </c>
      <c r="S40" s="656" t="s">
        <v>185</v>
      </c>
      <c r="T40" s="656" t="s">
        <v>186</v>
      </c>
      <c r="U40" s="153"/>
      <c r="V40" s="190"/>
      <c r="W40" s="189"/>
    </row>
    <row r="41" spans="2:23" x14ac:dyDescent="0.2">
      <c r="B41" s="648"/>
      <c r="C41" s="150"/>
      <c r="D41" s="199"/>
      <c r="E41" s="163"/>
      <c r="F41" s="197"/>
      <c r="G41" s="163"/>
      <c r="H41" s="197"/>
      <c r="I41" s="163"/>
      <c r="J41" s="197"/>
      <c r="K41" s="163"/>
      <c r="L41" s="197"/>
      <c r="M41" s="161"/>
      <c r="N41" s="142"/>
      <c r="O41" s="656"/>
      <c r="P41" s="656"/>
      <c r="Q41" s="656"/>
      <c r="R41" s="656"/>
      <c r="S41" s="656"/>
      <c r="T41" s="656"/>
      <c r="U41" s="153"/>
      <c r="V41" s="190"/>
      <c r="W41" s="188"/>
    </row>
    <row r="42" spans="2:23" ht="15.75" x14ac:dyDescent="0.2">
      <c r="B42" s="648"/>
      <c r="C42" s="150"/>
      <c r="D42" s="199"/>
      <c r="E42" s="163"/>
      <c r="F42" s="661" t="s">
        <v>222</v>
      </c>
      <c r="G42" s="661"/>
      <c r="H42" s="661"/>
      <c r="I42" s="177"/>
      <c r="J42" s="178"/>
      <c r="K42" s="177"/>
      <c r="L42" s="178"/>
      <c r="M42" s="179"/>
      <c r="N42" s="180"/>
      <c r="O42" s="192"/>
      <c r="P42" s="192"/>
      <c r="Q42" s="192"/>
      <c r="R42" s="192"/>
      <c r="S42" s="192"/>
      <c r="T42" s="192"/>
      <c r="U42" s="153"/>
      <c r="V42" s="190"/>
      <c r="W42" s="188"/>
    </row>
    <row r="43" spans="2:23" ht="15.75" x14ac:dyDescent="0.2">
      <c r="B43" s="648"/>
      <c r="C43" s="150"/>
      <c r="D43" s="199"/>
      <c r="E43" s="163"/>
      <c r="F43" s="661" t="s">
        <v>223</v>
      </c>
      <c r="G43" s="661"/>
      <c r="H43" s="661"/>
      <c r="I43" s="177"/>
      <c r="J43" s="178"/>
      <c r="K43" s="177"/>
      <c r="L43" s="178"/>
      <c r="M43" s="179"/>
      <c r="N43" s="180"/>
      <c r="O43" s="192"/>
      <c r="P43" s="192"/>
      <c r="Q43" s="192"/>
      <c r="R43" s="192"/>
      <c r="S43" s="192"/>
      <c r="T43" s="192"/>
      <c r="U43" s="153"/>
      <c r="V43" s="190"/>
      <c r="W43" s="188"/>
    </row>
    <row r="44" spans="2:23" ht="15.75" x14ac:dyDescent="0.2">
      <c r="B44" s="648"/>
      <c r="C44" s="150"/>
      <c r="D44" s="199"/>
      <c r="E44" s="163"/>
      <c r="F44" s="197"/>
      <c r="G44" s="163"/>
      <c r="H44" s="661" t="s">
        <v>224</v>
      </c>
      <c r="I44" s="661"/>
      <c r="J44" s="661"/>
      <c r="K44" s="181"/>
      <c r="L44" s="182"/>
      <c r="M44" s="183"/>
      <c r="N44" s="184"/>
      <c r="O44" s="173"/>
      <c r="P44" s="173"/>
      <c r="Q44" s="173"/>
      <c r="R44" s="173"/>
      <c r="S44" s="173"/>
      <c r="T44" s="173"/>
      <c r="U44" s="153"/>
      <c r="V44" s="190"/>
      <c r="W44" s="188"/>
    </row>
    <row r="45" spans="2:23" ht="15.75" x14ac:dyDescent="0.2">
      <c r="B45" s="648"/>
      <c r="C45" s="150"/>
      <c r="D45" s="199"/>
      <c r="E45" s="163"/>
      <c r="F45" s="197"/>
      <c r="G45" s="163"/>
      <c r="H45" s="661" t="s">
        <v>225</v>
      </c>
      <c r="I45" s="661"/>
      <c r="J45" s="661"/>
      <c r="K45" s="181"/>
      <c r="L45" s="182"/>
      <c r="M45" s="183"/>
      <c r="N45" s="184"/>
      <c r="O45" s="173"/>
      <c r="P45" s="173"/>
      <c r="Q45" s="173"/>
      <c r="R45" s="173"/>
      <c r="S45" s="173"/>
      <c r="T45" s="173"/>
      <c r="U45" s="153"/>
      <c r="V45" s="190"/>
      <c r="W45" s="188"/>
    </row>
    <row r="46" spans="2:23" ht="15.75" x14ac:dyDescent="0.2">
      <c r="B46" s="648"/>
      <c r="C46" s="150"/>
      <c r="D46" s="199"/>
      <c r="E46" s="163"/>
      <c r="F46" s="197"/>
      <c r="G46" s="163"/>
      <c r="H46" s="661" t="s">
        <v>226</v>
      </c>
      <c r="I46" s="661"/>
      <c r="J46" s="661"/>
      <c r="K46" s="181"/>
      <c r="L46" s="182"/>
      <c r="M46" s="183"/>
      <c r="N46" s="184"/>
      <c r="O46" s="173"/>
      <c r="P46" s="173"/>
      <c r="Q46" s="173"/>
      <c r="R46" s="173"/>
      <c r="S46" s="173"/>
      <c r="T46" s="173"/>
      <c r="U46" s="153"/>
      <c r="V46" s="190"/>
      <c r="W46" s="188"/>
    </row>
    <row r="47" spans="2:23" ht="15.75" x14ac:dyDescent="0.2">
      <c r="B47" s="648"/>
      <c r="C47" s="150"/>
      <c r="D47" s="199"/>
      <c r="E47" s="163"/>
      <c r="F47" s="197"/>
      <c r="G47" s="163"/>
      <c r="H47" s="661" t="s">
        <v>227</v>
      </c>
      <c r="I47" s="661"/>
      <c r="J47" s="661"/>
      <c r="K47" s="181"/>
      <c r="L47" s="182"/>
      <c r="M47" s="183"/>
      <c r="N47" s="184"/>
      <c r="O47" s="173"/>
      <c r="P47" s="173"/>
      <c r="Q47" s="173"/>
      <c r="R47" s="173"/>
      <c r="S47" s="173"/>
      <c r="T47" s="173"/>
      <c r="U47" s="153"/>
      <c r="V47" s="190"/>
      <c r="W47" s="188"/>
    </row>
    <row r="48" spans="2:23" ht="15.75" x14ac:dyDescent="0.2">
      <c r="B48" s="648"/>
      <c r="C48" s="150"/>
      <c r="D48" s="199"/>
      <c r="E48" s="163"/>
      <c r="F48" s="197"/>
      <c r="G48" s="163"/>
      <c r="H48" s="197"/>
      <c r="I48" s="163"/>
      <c r="J48" s="661" t="s">
        <v>228</v>
      </c>
      <c r="K48" s="661"/>
      <c r="L48" s="661"/>
      <c r="M48" s="185"/>
      <c r="N48" s="186"/>
      <c r="O48" s="173"/>
      <c r="P48" s="173"/>
      <c r="Q48" s="173"/>
      <c r="R48" s="173"/>
      <c r="S48" s="173"/>
      <c r="T48" s="173"/>
      <c r="U48" s="153"/>
      <c r="V48" s="190"/>
      <c r="W48" s="188"/>
    </row>
    <row r="49" spans="2:23" ht="15.75" x14ac:dyDescent="0.2">
      <c r="B49" s="648"/>
      <c r="C49" s="150"/>
      <c r="D49" s="199"/>
      <c r="E49" s="163"/>
      <c r="F49" s="197"/>
      <c r="G49" s="163"/>
      <c r="H49" s="197"/>
      <c r="I49" s="163"/>
      <c r="J49" s="661" t="s">
        <v>229</v>
      </c>
      <c r="K49" s="661"/>
      <c r="L49" s="661"/>
      <c r="M49" s="185"/>
      <c r="N49" s="186"/>
      <c r="O49" s="173"/>
      <c r="P49" s="173"/>
      <c r="Q49" s="173"/>
      <c r="R49" s="173"/>
      <c r="S49" s="173"/>
      <c r="T49" s="173"/>
      <c r="U49" s="153"/>
      <c r="V49" s="190"/>
      <c r="W49" s="188"/>
    </row>
    <row r="50" spans="2:23" ht="16.5" thickBot="1" x14ac:dyDescent="0.25">
      <c r="B50" s="648"/>
      <c r="C50" s="150"/>
      <c r="D50" s="199"/>
      <c r="E50" s="163"/>
      <c r="F50" s="197"/>
      <c r="G50" s="163"/>
      <c r="H50" s="197"/>
      <c r="I50" s="163"/>
      <c r="J50" s="661" t="s">
        <v>230</v>
      </c>
      <c r="K50" s="661"/>
      <c r="L50" s="661"/>
      <c r="M50" s="185"/>
      <c r="N50" s="187"/>
      <c r="O50" s="173"/>
      <c r="P50" s="173"/>
      <c r="Q50" s="173"/>
      <c r="R50" s="173"/>
      <c r="S50" s="173"/>
      <c r="T50" s="173"/>
      <c r="U50" s="153"/>
      <c r="V50" s="190"/>
      <c r="W50" s="188"/>
    </row>
    <row r="51" spans="2:23" x14ac:dyDescent="0.2">
      <c r="B51" s="648"/>
      <c r="C51" s="150"/>
      <c r="D51" s="197"/>
      <c r="E51" s="163"/>
      <c r="F51" s="197"/>
      <c r="G51" s="163"/>
      <c r="H51" s="197"/>
      <c r="I51" s="163"/>
      <c r="J51" s="197"/>
      <c r="K51" s="163"/>
      <c r="L51" s="197"/>
      <c r="M51" s="161"/>
      <c r="N51" s="142"/>
      <c r="O51" s="194"/>
      <c r="P51" s="194"/>
      <c r="Q51" s="194"/>
      <c r="R51" s="194"/>
      <c r="S51" s="194"/>
      <c r="T51" s="194"/>
      <c r="U51" s="153"/>
      <c r="V51" s="190"/>
      <c r="W51" s="188"/>
    </row>
    <row r="52" spans="2:23" ht="15.75" thickBot="1" x14ac:dyDescent="0.25">
      <c r="B52" s="648"/>
      <c r="C52" s="151"/>
      <c r="D52" s="198"/>
      <c r="E52" s="166"/>
      <c r="F52" s="198"/>
      <c r="G52" s="166"/>
      <c r="H52" s="198"/>
      <c r="I52" s="166"/>
      <c r="J52" s="198"/>
      <c r="K52" s="166"/>
      <c r="L52" s="198"/>
      <c r="M52" s="162"/>
      <c r="N52" s="143"/>
      <c r="O52" s="196"/>
      <c r="P52" s="196"/>
      <c r="Q52" s="196"/>
      <c r="R52" s="196"/>
      <c r="S52" s="196"/>
      <c r="T52" s="196"/>
      <c r="U52" s="154"/>
      <c r="V52" s="191"/>
      <c r="W52" s="188"/>
    </row>
  </sheetData>
  <sheetProtection algorithmName="SHA-512" hashValue="3fkstWYlKQ1/oj1VimYF/nPJYYHZPOoQQh8SJ4BCLraTsYm6fOJLRG5QLWZY9P1ugMYCVe9f5IPRj0Heqn87hg==" saltValue="7uSlPbQHpjbgV/K65z93vA==" spinCount="100000" sheet="1" objects="1" scenarios="1"/>
  <mergeCells count="82">
    <mergeCell ref="F27:H27"/>
    <mergeCell ref="F28:H28"/>
    <mergeCell ref="F12:H12"/>
    <mergeCell ref="F13:H13"/>
    <mergeCell ref="H14:J14"/>
    <mergeCell ref="H15:J15"/>
    <mergeCell ref="H16:J16"/>
    <mergeCell ref="H17:J17"/>
    <mergeCell ref="J18:L18"/>
    <mergeCell ref="J19:L19"/>
    <mergeCell ref="J20:L20"/>
    <mergeCell ref="J33:L33"/>
    <mergeCell ref="J34:L34"/>
    <mergeCell ref="J35:L35"/>
    <mergeCell ref="H29:J29"/>
    <mergeCell ref="H30:J30"/>
    <mergeCell ref="H31:J31"/>
    <mergeCell ref="H32:J32"/>
    <mergeCell ref="L36:L37"/>
    <mergeCell ref="J48:L48"/>
    <mergeCell ref="J49:L49"/>
    <mergeCell ref="J50:L50"/>
    <mergeCell ref="H44:J44"/>
    <mergeCell ref="H45:J45"/>
    <mergeCell ref="H46:J46"/>
    <mergeCell ref="H47:J47"/>
    <mergeCell ref="F42:H42"/>
    <mergeCell ref="F43:H43"/>
    <mergeCell ref="T21:T22"/>
    <mergeCell ref="L8:L10"/>
    <mergeCell ref="T6:T7"/>
    <mergeCell ref="D8:D10"/>
    <mergeCell ref="F8:F10"/>
    <mergeCell ref="H8:H10"/>
    <mergeCell ref="J8:J10"/>
    <mergeCell ref="S10:S11"/>
    <mergeCell ref="P10:P11"/>
    <mergeCell ref="Q10:Q11"/>
    <mergeCell ref="R10:R11"/>
    <mergeCell ref="L21:L22"/>
    <mergeCell ref="B3:B5"/>
    <mergeCell ref="N3:U5"/>
    <mergeCell ref="D4:L4"/>
    <mergeCell ref="B6:B52"/>
    <mergeCell ref="O6:O7"/>
    <mergeCell ref="P6:P7"/>
    <mergeCell ref="Q6:Q7"/>
    <mergeCell ref="R6:R7"/>
    <mergeCell ref="S6:S7"/>
    <mergeCell ref="T10:T11"/>
    <mergeCell ref="O21:O22"/>
    <mergeCell ref="P21:P22"/>
    <mergeCell ref="Q21:Q22"/>
    <mergeCell ref="R21:R22"/>
    <mergeCell ref="S21:S22"/>
    <mergeCell ref="O10:O11"/>
    <mergeCell ref="Q25:Q26"/>
    <mergeCell ref="R25:R26"/>
    <mergeCell ref="S25:S26"/>
    <mergeCell ref="T25:T26"/>
    <mergeCell ref="F23:F25"/>
    <mergeCell ref="H23:H25"/>
    <mergeCell ref="J23:J25"/>
    <mergeCell ref="L23:L25"/>
    <mergeCell ref="O25:O26"/>
    <mergeCell ref="P25:P26"/>
    <mergeCell ref="O36:O37"/>
    <mergeCell ref="P36:P37"/>
    <mergeCell ref="Q36:Q37"/>
    <mergeCell ref="R36:R37"/>
    <mergeCell ref="S36:S37"/>
    <mergeCell ref="T36:T37"/>
    <mergeCell ref="Q40:Q41"/>
    <mergeCell ref="R40:R41"/>
    <mergeCell ref="S40:S41"/>
    <mergeCell ref="T40:T41"/>
    <mergeCell ref="P40:P41"/>
    <mergeCell ref="F38:F40"/>
    <mergeCell ref="H38:H40"/>
    <mergeCell ref="J38:J40"/>
    <mergeCell ref="L38:L40"/>
    <mergeCell ref="O40:O41"/>
  </mergeCells>
  <pageMargins left="0.7" right="0.7" top="0.75" bottom="0.75" header="0.3" footer="0.3"/>
  <pageSetup paperSize="5" scale="45" orientation="landscape"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58"/>
  <sheetViews>
    <sheetView showGridLines="0" workbookViewId="0">
      <pane xSplit="1" ySplit="3" topLeftCell="B4" activePane="bottomRight" state="frozen"/>
      <selection pane="topRight" activeCell="B1" sqref="B1"/>
      <selection pane="bottomLeft" activeCell="A4" sqref="A4"/>
      <selection pane="bottomRight" activeCell="G8" sqref="G8"/>
    </sheetView>
  </sheetViews>
  <sheetFormatPr defaultColWidth="8.85546875" defaultRowHeight="15" x14ac:dyDescent="0.25"/>
  <cols>
    <col min="1" max="1" width="60" style="99" customWidth="1"/>
    <col min="2" max="19" width="8.85546875" style="99"/>
    <col min="20" max="20" width="10" style="99" bestFit="1" customWidth="1"/>
  </cols>
  <sheetData>
    <row r="1" spans="1:20" ht="27" customHeight="1" x14ac:dyDescent="0.25">
      <c r="A1" s="665" t="s">
        <v>376</v>
      </c>
      <c r="B1" s="666"/>
      <c r="C1" s="666"/>
      <c r="D1" s="666"/>
      <c r="E1" s="666"/>
      <c r="F1" s="666"/>
      <c r="G1" s="666"/>
      <c r="H1" s="666"/>
      <c r="I1" s="666"/>
      <c r="J1" s="666"/>
      <c r="K1" s="666"/>
      <c r="L1" s="666"/>
      <c r="M1" s="666"/>
      <c r="N1" s="666"/>
      <c r="O1" s="666"/>
      <c r="P1" s="666"/>
      <c r="Q1" s="666"/>
      <c r="R1" s="666"/>
      <c r="S1" s="666"/>
      <c r="T1" s="667"/>
    </row>
    <row r="2" spans="1:20" ht="20.100000000000001" customHeight="1" x14ac:dyDescent="0.25">
      <c r="A2" s="668" t="s">
        <v>231</v>
      </c>
      <c r="B2" s="669"/>
      <c r="C2" s="669"/>
      <c r="D2" s="669"/>
      <c r="E2" s="669"/>
      <c r="F2" s="669"/>
      <c r="G2" s="669"/>
      <c r="H2" s="669"/>
      <c r="I2" s="669"/>
      <c r="J2" s="669"/>
      <c r="K2" s="669"/>
      <c r="L2" s="669"/>
      <c r="M2" s="669"/>
      <c r="N2" s="669"/>
      <c r="O2" s="669"/>
      <c r="P2" s="669"/>
      <c r="Q2" s="669"/>
      <c r="R2" s="669"/>
      <c r="S2" s="669"/>
      <c r="T2" s="670"/>
    </row>
    <row r="3" spans="1:20" ht="20.100000000000001" customHeight="1" x14ac:dyDescent="0.25">
      <c r="A3" s="203" t="s">
        <v>232</v>
      </c>
      <c r="B3" s="204">
        <v>44562</v>
      </c>
      <c r="C3" s="205">
        <f>EDATE(B3,1)</f>
        <v>44593</v>
      </c>
      <c r="D3" s="205">
        <f t="shared" ref="D3:S3" si="0">EDATE(C3,1)</f>
        <v>44621</v>
      </c>
      <c r="E3" s="205">
        <f t="shared" si="0"/>
        <v>44652</v>
      </c>
      <c r="F3" s="205">
        <f t="shared" si="0"/>
        <v>44682</v>
      </c>
      <c r="G3" s="205">
        <f t="shared" si="0"/>
        <v>44713</v>
      </c>
      <c r="H3" s="205">
        <f t="shared" si="0"/>
        <v>44743</v>
      </c>
      <c r="I3" s="205">
        <f t="shared" si="0"/>
        <v>44774</v>
      </c>
      <c r="J3" s="205">
        <f t="shared" si="0"/>
        <v>44805</v>
      </c>
      <c r="K3" s="205">
        <f t="shared" si="0"/>
        <v>44835</v>
      </c>
      <c r="L3" s="205">
        <f t="shared" si="0"/>
        <v>44866</v>
      </c>
      <c r="M3" s="205">
        <f t="shared" si="0"/>
        <v>44896</v>
      </c>
      <c r="N3" s="205">
        <f t="shared" si="0"/>
        <v>44927</v>
      </c>
      <c r="O3" s="205">
        <f t="shared" si="0"/>
        <v>44958</v>
      </c>
      <c r="P3" s="205">
        <f t="shared" si="0"/>
        <v>44986</v>
      </c>
      <c r="Q3" s="205">
        <f t="shared" si="0"/>
        <v>45017</v>
      </c>
      <c r="R3" s="205">
        <f t="shared" si="0"/>
        <v>45047</v>
      </c>
      <c r="S3" s="205">
        <f t="shared" si="0"/>
        <v>45078</v>
      </c>
      <c r="T3" s="206" t="s">
        <v>233</v>
      </c>
    </row>
    <row r="4" spans="1:20" ht="20.100000000000001" customHeight="1" x14ac:dyDescent="0.25">
      <c r="A4" s="268" t="s">
        <v>282</v>
      </c>
      <c r="B4" s="269"/>
      <c r="C4" s="270">
        <v>20</v>
      </c>
      <c r="D4" s="270">
        <v>40</v>
      </c>
      <c r="E4" s="270">
        <v>40</v>
      </c>
      <c r="F4" s="270">
        <v>10</v>
      </c>
      <c r="G4" s="270">
        <v>5</v>
      </c>
      <c r="H4" s="270">
        <v>5</v>
      </c>
      <c r="I4" s="270">
        <v>5</v>
      </c>
      <c r="J4" s="270">
        <v>5</v>
      </c>
      <c r="K4" s="270"/>
      <c r="L4" s="270"/>
      <c r="M4" s="270"/>
      <c r="N4" s="270"/>
      <c r="O4" s="270"/>
      <c r="P4" s="270"/>
      <c r="Q4" s="270"/>
      <c r="R4" s="270"/>
      <c r="S4" s="271"/>
      <c r="T4" s="272">
        <f>SUM(B4:S4)</f>
        <v>130</v>
      </c>
    </row>
    <row r="5" spans="1:20" ht="20.100000000000001" customHeight="1" x14ac:dyDescent="0.25">
      <c r="A5" s="268" t="s">
        <v>307</v>
      </c>
      <c r="B5" s="273"/>
      <c r="C5" s="274"/>
      <c r="D5" s="274">
        <v>5</v>
      </c>
      <c r="E5" s="274">
        <v>5</v>
      </c>
      <c r="F5" s="274">
        <v>5</v>
      </c>
      <c r="G5" s="274"/>
      <c r="H5" s="274"/>
      <c r="I5" s="274"/>
      <c r="J5" s="274"/>
      <c r="K5" s="274"/>
      <c r="L5" s="274"/>
      <c r="M5" s="274"/>
      <c r="N5" s="274"/>
      <c r="O5" s="274"/>
      <c r="P5" s="274"/>
      <c r="Q5" s="274"/>
      <c r="R5" s="274"/>
      <c r="S5" s="275"/>
      <c r="T5" s="276">
        <f t="shared" ref="T5:T32" si="1">SUM(B5:S5)</f>
        <v>15</v>
      </c>
    </row>
    <row r="6" spans="1:20" ht="20.100000000000001" customHeight="1" x14ac:dyDescent="0.25">
      <c r="A6" s="268" t="s">
        <v>300</v>
      </c>
      <c r="B6" s="273"/>
      <c r="C6" s="274">
        <v>0</v>
      </c>
      <c r="D6" s="274">
        <v>80</v>
      </c>
      <c r="E6" s="274">
        <v>80</v>
      </c>
      <c r="F6" s="274">
        <v>30</v>
      </c>
      <c r="G6" s="274">
        <v>5</v>
      </c>
      <c r="H6" s="274">
        <v>5</v>
      </c>
      <c r="I6" s="274">
        <v>5</v>
      </c>
      <c r="J6" s="274">
        <v>5</v>
      </c>
      <c r="K6" s="274"/>
      <c r="L6" s="274"/>
      <c r="M6" s="274"/>
      <c r="N6" s="274"/>
      <c r="O6" s="274"/>
      <c r="P6" s="274"/>
      <c r="Q6" s="274"/>
      <c r="R6" s="274"/>
      <c r="S6" s="275"/>
      <c r="T6" s="276">
        <f t="shared" si="1"/>
        <v>210</v>
      </c>
    </row>
    <row r="7" spans="1:20" ht="20.100000000000001" customHeight="1" x14ac:dyDescent="0.25">
      <c r="A7" s="268" t="s">
        <v>317</v>
      </c>
      <c r="B7" s="273"/>
      <c r="C7" s="274">
        <v>0</v>
      </c>
      <c r="D7" s="274">
        <v>5</v>
      </c>
      <c r="E7" s="274">
        <v>5</v>
      </c>
      <c r="F7" s="274">
        <v>5</v>
      </c>
      <c r="G7" s="274"/>
      <c r="H7" s="274"/>
      <c r="I7" s="274"/>
      <c r="J7" s="274"/>
      <c r="K7" s="274"/>
      <c r="L7" s="274"/>
      <c r="M7" s="274"/>
      <c r="N7" s="274"/>
      <c r="O7" s="274"/>
      <c r="P7" s="274"/>
      <c r="Q7" s="274"/>
      <c r="R7" s="274"/>
      <c r="S7" s="275"/>
      <c r="T7" s="276">
        <f t="shared" si="1"/>
        <v>15</v>
      </c>
    </row>
    <row r="8" spans="1:20" ht="20.100000000000001" customHeight="1" x14ac:dyDescent="0.25">
      <c r="A8" s="268" t="s">
        <v>285</v>
      </c>
      <c r="B8" s="273"/>
      <c r="C8" s="274"/>
      <c r="D8" s="274">
        <v>10</v>
      </c>
      <c r="E8" s="274">
        <v>10</v>
      </c>
      <c r="F8" s="274">
        <v>5</v>
      </c>
      <c r="G8" s="274"/>
      <c r="H8" s="274"/>
      <c r="I8" s="274"/>
      <c r="J8" s="274"/>
      <c r="K8" s="274"/>
      <c r="L8" s="274"/>
      <c r="M8" s="274"/>
      <c r="N8" s="274"/>
      <c r="O8" s="274"/>
      <c r="P8" s="274"/>
      <c r="Q8" s="274"/>
      <c r="R8" s="274"/>
      <c r="S8" s="275"/>
      <c r="T8" s="276">
        <f t="shared" si="1"/>
        <v>25</v>
      </c>
    </row>
    <row r="9" spans="1:20" ht="20.100000000000001" customHeight="1" x14ac:dyDescent="0.25">
      <c r="A9" s="268"/>
      <c r="B9" s="273"/>
      <c r="C9" s="274"/>
      <c r="D9" s="274"/>
      <c r="E9" s="274"/>
      <c r="F9" s="274"/>
      <c r="G9" s="274"/>
      <c r="H9" s="274"/>
      <c r="I9" s="274"/>
      <c r="J9" s="274"/>
      <c r="K9" s="274"/>
      <c r="L9" s="274"/>
      <c r="M9" s="274"/>
      <c r="N9" s="274"/>
      <c r="O9" s="274"/>
      <c r="P9" s="274"/>
      <c r="Q9" s="274"/>
      <c r="R9" s="274"/>
      <c r="S9" s="275"/>
      <c r="T9" s="276">
        <f t="shared" si="1"/>
        <v>0</v>
      </c>
    </row>
    <row r="10" spans="1:20" ht="20.100000000000001" customHeight="1" x14ac:dyDescent="0.25">
      <c r="A10" s="268"/>
      <c r="B10" s="273"/>
      <c r="C10" s="274"/>
      <c r="D10" s="274"/>
      <c r="E10" s="274"/>
      <c r="F10" s="274"/>
      <c r="G10" s="274"/>
      <c r="H10" s="274"/>
      <c r="I10" s="274"/>
      <c r="J10" s="274"/>
      <c r="K10" s="274"/>
      <c r="L10" s="274"/>
      <c r="M10" s="274"/>
      <c r="N10" s="274"/>
      <c r="O10" s="274"/>
      <c r="P10" s="274"/>
      <c r="Q10" s="274"/>
      <c r="R10" s="274"/>
      <c r="S10" s="275"/>
      <c r="T10" s="276">
        <f t="shared" si="1"/>
        <v>0</v>
      </c>
    </row>
    <row r="11" spans="1:20" ht="20.100000000000001" customHeight="1" x14ac:dyDescent="0.25">
      <c r="A11" s="268"/>
      <c r="B11" s="273"/>
      <c r="C11" s="274"/>
      <c r="D11" s="274"/>
      <c r="E11" s="274"/>
      <c r="F11" s="274"/>
      <c r="G11" s="274"/>
      <c r="H11" s="274"/>
      <c r="I11" s="274"/>
      <c r="J11" s="274"/>
      <c r="K11" s="274"/>
      <c r="L11" s="274"/>
      <c r="M11" s="274"/>
      <c r="N11" s="274"/>
      <c r="O11" s="274"/>
      <c r="P11" s="274"/>
      <c r="Q11" s="274"/>
      <c r="R11" s="274"/>
      <c r="S11" s="275"/>
      <c r="T11" s="276">
        <f t="shared" si="1"/>
        <v>0</v>
      </c>
    </row>
    <row r="12" spans="1:20" ht="20.100000000000001" customHeight="1" x14ac:dyDescent="0.25">
      <c r="A12" s="268"/>
      <c r="B12" s="273"/>
      <c r="C12" s="274"/>
      <c r="D12" s="274"/>
      <c r="E12" s="274"/>
      <c r="F12" s="274"/>
      <c r="G12" s="274"/>
      <c r="H12" s="274"/>
      <c r="I12" s="274"/>
      <c r="J12" s="274"/>
      <c r="K12" s="274"/>
      <c r="L12" s="274"/>
      <c r="M12" s="274"/>
      <c r="N12" s="274"/>
      <c r="O12" s="274"/>
      <c r="P12" s="274"/>
      <c r="Q12" s="274"/>
      <c r="R12" s="274"/>
      <c r="S12" s="275"/>
      <c r="T12" s="276">
        <f t="shared" si="1"/>
        <v>0</v>
      </c>
    </row>
    <row r="13" spans="1:20" ht="20.100000000000001" customHeight="1" x14ac:dyDescent="0.25">
      <c r="A13" s="268"/>
      <c r="B13" s="273"/>
      <c r="C13" s="274"/>
      <c r="D13" s="274"/>
      <c r="E13" s="274"/>
      <c r="F13" s="274"/>
      <c r="G13" s="274"/>
      <c r="H13" s="274"/>
      <c r="I13" s="274"/>
      <c r="J13" s="274"/>
      <c r="K13" s="274"/>
      <c r="L13" s="274"/>
      <c r="M13" s="274"/>
      <c r="N13" s="274"/>
      <c r="O13" s="274"/>
      <c r="P13" s="274"/>
      <c r="Q13" s="274"/>
      <c r="R13" s="274"/>
      <c r="S13" s="275"/>
      <c r="T13" s="276">
        <f t="shared" si="1"/>
        <v>0</v>
      </c>
    </row>
    <row r="14" spans="1:20" ht="20.100000000000001" customHeight="1" x14ac:dyDescent="0.25">
      <c r="A14" s="268"/>
      <c r="B14" s="273"/>
      <c r="C14" s="274"/>
      <c r="D14" s="274"/>
      <c r="E14" s="274"/>
      <c r="F14" s="274"/>
      <c r="G14" s="274"/>
      <c r="H14" s="274"/>
      <c r="I14" s="274"/>
      <c r="J14" s="274"/>
      <c r="K14" s="274"/>
      <c r="L14" s="274"/>
      <c r="M14" s="274"/>
      <c r="N14" s="274"/>
      <c r="O14" s="274"/>
      <c r="P14" s="274"/>
      <c r="Q14" s="274"/>
      <c r="R14" s="274"/>
      <c r="S14" s="275"/>
      <c r="T14" s="276">
        <f t="shared" si="1"/>
        <v>0</v>
      </c>
    </row>
    <row r="15" spans="1:20" ht="20.100000000000001" customHeight="1" x14ac:dyDescent="0.25">
      <c r="A15" s="268"/>
      <c r="B15" s="273"/>
      <c r="C15" s="274"/>
      <c r="D15" s="274"/>
      <c r="E15" s="274"/>
      <c r="F15" s="274"/>
      <c r="G15" s="274"/>
      <c r="H15" s="274"/>
      <c r="I15" s="274"/>
      <c r="J15" s="274"/>
      <c r="K15" s="274"/>
      <c r="L15" s="274"/>
      <c r="M15" s="274"/>
      <c r="N15" s="274"/>
      <c r="O15" s="274"/>
      <c r="P15" s="274"/>
      <c r="Q15" s="274"/>
      <c r="R15" s="274"/>
      <c r="S15" s="275"/>
      <c r="T15" s="276">
        <f t="shared" si="1"/>
        <v>0</v>
      </c>
    </row>
    <row r="16" spans="1:20" ht="20.100000000000001" customHeight="1" x14ac:dyDescent="0.25">
      <c r="A16" s="268"/>
      <c r="B16" s="273"/>
      <c r="C16" s="274"/>
      <c r="D16" s="274"/>
      <c r="E16" s="274"/>
      <c r="F16" s="274"/>
      <c r="G16" s="274"/>
      <c r="H16" s="274"/>
      <c r="I16" s="274"/>
      <c r="J16" s="274"/>
      <c r="K16" s="274"/>
      <c r="L16" s="274"/>
      <c r="M16" s="274"/>
      <c r="N16" s="274"/>
      <c r="O16" s="274"/>
      <c r="P16" s="274"/>
      <c r="Q16" s="274"/>
      <c r="R16" s="274"/>
      <c r="S16" s="275"/>
      <c r="T16" s="276">
        <f t="shared" si="1"/>
        <v>0</v>
      </c>
    </row>
    <row r="17" spans="1:20" ht="20.100000000000001" customHeight="1" x14ac:dyDescent="0.25">
      <c r="A17" s="268"/>
      <c r="B17" s="273"/>
      <c r="C17" s="274"/>
      <c r="D17" s="274"/>
      <c r="E17" s="274"/>
      <c r="F17" s="274"/>
      <c r="G17" s="274"/>
      <c r="H17" s="274"/>
      <c r="I17" s="274"/>
      <c r="J17" s="274"/>
      <c r="K17" s="274"/>
      <c r="L17" s="274"/>
      <c r="M17" s="274"/>
      <c r="N17" s="274"/>
      <c r="O17" s="274"/>
      <c r="P17" s="274"/>
      <c r="Q17" s="274"/>
      <c r="R17" s="274"/>
      <c r="S17" s="275"/>
      <c r="T17" s="276">
        <f t="shared" si="1"/>
        <v>0</v>
      </c>
    </row>
    <row r="18" spans="1:20" ht="20.100000000000001" customHeight="1" x14ac:dyDescent="0.25">
      <c r="A18" s="268"/>
      <c r="B18" s="273"/>
      <c r="C18" s="274"/>
      <c r="D18" s="274"/>
      <c r="E18" s="274"/>
      <c r="F18" s="274"/>
      <c r="G18" s="274"/>
      <c r="H18" s="274"/>
      <c r="I18" s="274"/>
      <c r="J18" s="274"/>
      <c r="K18" s="274"/>
      <c r="L18" s="274"/>
      <c r="M18" s="274"/>
      <c r="N18" s="274"/>
      <c r="O18" s="274"/>
      <c r="P18" s="274"/>
      <c r="Q18" s="274"/>
      <c r="R18" s="274"/>
      <c r="S18" s="275"/>
      <c r="T18" s="276">
        <f t="shared" si="1"/>
        <v>0</v>
      </c>
    </row>
    <row r="19" spans="1:20" ht="20.100000000000001" customHeight="1" x14ac:dyDescent="0.25">
      <c r="A19" s="268"/>
      <c r="B19" s="273"/>
      <c r="C19" s="274"/>
      <c r="D19" s="274"/>
      <c r="E19" s="274"/>
      <c r="F19" s="274"/>
      <c r="G19" s="274"/>
      <c r="H19" s="274"/>
      <c r="I19" s="274"/>
      <c r="J19" s="274"/>
      <c r="K19" s="274"/>
      <c r="L19" s="274"/>
      <c r="M19" s="274"/>
      <c r="N19" s="274"/>
      <c r="O19" s="274"/>
      <c r="P19" s="274"/>
      <c r="Q19" s="274"/>
      <c r="R19" s="274"/>
      <c r="S19" s="275"/>
      <c r="T19" s="276">
        <f t="shared" si="1"/>
        <v>0</v>
      </c>
    </row>
    <row r="20" spans="1:20" ht="20.100000000000001" customHeight="1" x14ac:dyDescent="0.25">
      <c r="A20" s="268"/>
      <c r="B20" s="273"/>
      <c r="C20" s="274"/>
      <c r="D20" s="274"/>
      <c r="E20" s="274"/>
      <c r="F20" s="274"/>
      <c r="G20" s="274"/>
      <c r="H20" s="274"/>
      <c r="I20" s="274"/>
      <c r="J20" s="274"/>
      <c r="K20" s="274"/>
      <c r="L20" s="274"/>
      <c r="M20" s="274"/>
      <c r="N20" s="274"/>
      <c r="O20" s="274"/>
      <c r="P20" s="274"/>
      <c r="Q20" s="274"/>
      <c r="R20" s="274"/>
      <c r="S20" s="275"/>
      <c r="T20" s="276">
        <f t="shared" si="1"/>
        <v>0</v>
      </c>
    </row>
    <row r="21" spans="1:20" ht="20.100000000000001" customHeight="1" x14ac:dyDescent="0.25">
      <c r="A21" s="268"/>
      <c r="B21" s="273"/>
      <c r="C21" s="274"/>
      <c r="D21" s="274"/>
      <c r="E21" s="274"/>
      <c r="F21" s="274"/>
      <c r="G21" s="274"/>
      <c r="H21" s="274"/>
      <c r="I21" s="274"/>
      <c r="J21" s="274"/>
      <c r="K21" s="274"/>
      <c r="L21" s="274"/>
      <c r="M21" s="274"/>
      <c r="N21" s="274"/>
      <c r="O21" s="274"/>
      <c r="P21" s="274"/>
      <c r="Q21" s="274"/>
      <c r="R21" s="274"/>
      <c r="S21" s="275"/>
      <c r="T21" s="276">
        <f t="shared" si="1"/>
        <v>0</v>
      </c>
    </row>
    <row r="22" spans="1:20" ht="20.100000000000001" customHeight="1" x14ac:dyDescent="0.25">
      <c r="A22" s="268"/>
      <c r="B22" s="273"/>
      <c r="C22" s="274"/>
      <c r="D22" s="274"/>
      <c r="E22" s="274"/>
      <c r="F22" s="274"/>
      <c r="G22" s="274"/>
      <c r="H22" s="274"/>
      <c r="I22" s="274"/>
      <c r="J22" s="274"/>
      <c r="K22" s="274"/>
      <c r="L22" s="274"/>
      <c r="M22" s="274"/>
      <c r="N22" s="274"/>
      <c r="O22" s="274"/>
      <c r="P22" s="274"/>
      <c r="Q22" s="274"/>
      <c r="R22" s="274"/>
      <c r="S22" s="275"/>
      <c r="T22" s="276">
        <f t="shared" si="1"/>
        <v>0</v>
      </c>
    </row>
    <row r="23" spans="1:20" ht="20.100000000000001" customHeight="1" x14ac:dyDescent="0.25">
      <c r="A23" s="268"/>
      <c r="B23" s="273"/>
      <c r="C23" s="274"/>
      <c r="D23" s="274"/>
      <c r="E23" s="274"/>
      <c r="F23" s="274"/>
      <c r="G23" s="274"/>
      <c r="H23" s="274"/>
      <c r="I23" s="274"/>
      <c r="J23" s="274"/>
      <c r="K23" s="274"/>
      <c r="L23" s="274"/>
      <c r="M23" s="274"/>
      <c r="N23" s="274"/>
      <c r="O23" s="274"/>
      <c r="P23" s="274"/>
      <c r="Q23" s="274"/>
      <c r="R23" s="274"/>
      <c r="S23" s="275"/>
      <c r="T23" s="276">
        <f t="shared" si="1"/>
        <v>0</v>
      </c>
    </row>
    <row r="24" spans="1:20" ht="20.100000000000001" customHeight="1" x14ac:dyDescent="0.25">
      <c r="A24" s="268"/>
      <c r="B24" s="273"/>
      <c r="C24" s="274"/>
      <c r="D24" s="274"/>
      <c r="E24" s="274"/>
      <c r="F24" s="274"/>
      <c r="G24" s="274"/>
      <c r="H24" s="274"/>
      <c r="I24" s="274"/>
      <c r="J24" s="274"/>
      <c r="K24" s="274"/>
      <c r="L24" s="274"/>
      <c r="M24" s="274"/>
      <c r="N24" s="274"/>
      <c r="O24" s="274"/>
      <c r="P24" s="274"/>
      <c r="Q24" s="274"/>
      <c r="R24" s="274"/>
      <c r="S24" s="275"/>
      <c r="T24" s="276">
        <f t="shared" si="1"/>
        <v>0</v>
      </c>
    </row>
    <row r="25" spans="1:20" ht="20.100000000000001" customHeight="1" x14ac:dyDescent="0.25">
      <c r="A25" s="268"/>
      <c r="B25" s="273"/>
      <c r="C25" s="274"/>
      <c r="D25" s="274"/>
      <c r="E25" s="274"/>
      <c r="F25" s="274"/>
      <c r="G25" s="274"/>
      <c r="H25" s="274"/>
      <c r="I25" s="274"/>
      <c r="J25" s="274"/>
      <c r="K25" s="274"/>
      <c r="L25" s="274"/>
      <c r="M25" s="274"/>
      <c r="N25" s="274"/>
      <c r="O25" s="274"/>
      <c r="P25" s="274"/>
      <c r="Q25" s="274"/>
      <c r="R25" s="274"/>
      <c r="S25" s="275"/>
      <c r="T25" s="276">
        <f t="shared" si="1"/>
        <v>0</v>
      </c>
    </row>
    <row r="26" spans="1:20" ht="20.100000000000001" customHeight="1" x14ac:dyDescent="0.25">
      <c r="A26" s="268"/>
      <c r="B26" s="273"/>
      <c r="C26" s="274"/>
      <c r="D26" s="274"/>
      <c r="E26" s="274"/>
      <c r="F26" s="274"/>
      <c r="G26" s="274"/>
      <c r="H26" s="274"/>
      <c r="I26" s="274"/>
      <c r="J26" s="274"/>
      <c r="K26" s="274"/>
      <c r="L26" s="274"/>
      <c r="M26" s="274"/>
      <c r="N26" s="274"/>
      <c r="O26" s="274"/>
      <c r="P26" s="274"/>
      <c r="Q26" s="274"/>
      <c r="R26" s="274"/>
      <c r="S26" s="275"/>
      <c r="T26" s="276">
        <f t="shared" si="1"/>
        <v>0</v>
      </c>
    </row>
    <row r="27" spans="1:20" ht="20.100000000000001" customHeight="1" x14ac:dyDescent="0.25">
      <c r="A27" s="268"/>
      <c r="B27" s="273"/>
      <c r="C27" s="274"/>
      <c r="D27" s="274"/>
      <c r="E27" s="274"/>
      <c r="F27" s="274"/>
      <c r="G27" s="274"/>
      <c r="H27" s="274"/>
      <c r="I27" s="274"/>
      <c r="J27" s="274"/>
      <c r="K27" s="274"/>
      <c r="L27" s="274"/>
      <c r="M27" s="274"/>
      <c r="N27" s="274"/>
      <c r="O27" s="274"/>
      <c r="P27" s="274"/>
      <c r="Q27" s="274"/>
      <c r="R27" s="274"/>
      <c r="S27" s="275"/>
      <c r="T27" s="276">
        <f t="shared" si="1"/>
        <v>0</v>
      </c>
    </row>
    <row r="28" spans="1:20" ht="20.100000000000001" customHeight="1" x14ac:dyDescent="0.25">
      <c r="A28" s="268"/>
      <c r="B28" s="273"/>
      <c r="C28" s="274"/>
      <c r="D28" s="274"/>
      <c r="E28" s="274"/>
      <c r="F28" s="274"/>
      <c r="G28" s="274"/>
      <c r="H28" s="274"/>
      <c r="I28" s="274"/>
      <c r="J28" s="274"/>
      <c r="K28" s="274"/>
      <c r="L28" s="274"/>
      <c r="M28" s="274"/>
      <c r="N28" s="274"/>
      <c r="O28" s="274"/>
      <c r="P28" s="274"/>
      <c r="Q28" s="274"/>
      <c r="R28" s="274"/>
      <c r="S28" s="275"/>
      <c r="T28" s="276">
        <f t="shared" si="1"/>
        <v>0</v>
      </c>
    </row>
    <row r="29" spans="1:20" ht="20.100000000000001" customHeight="1" x14ac:dyDescent="0.25">
      <c r="A29" s="268"/>
      <c r="B29" s="273"/>
      <c r="C29" s="274"/>
      <c r="D29" s="274"/>
      <c r="E29" s="274"/>
      <c r="F29" s="274"/>
      <c r="G29" s="274"/>
      <c r="H29" s="274"/>
      <c r="I29" s="274"/>
      <c r="J29" s="274"/>
      <c r="K29" s="274"/>
      <c r="L29" s="274"/>
      <c r="M29" s="274"/>
      <c r="N29" s="274"/>
      <c r="O29" s="274"/>
      <c r="P29" s="274"/>
      <c r="Q29" s="274"/>
      <c r="R29" s="274"/>
      <c r="S29" s="275"/>
      <c r="T29" s="276">
        <f t="shared" si="1"/>
        <v>0</v>
      </c>
    </row>
    <row r="30" spans="1:20" ht="20.100000000000001" customHeight="1" x14ac:dyDescent="0.25">
      <c r="A30" s="268"/>
      <c r="B30" s="273"/>
      <c r="C30" s="274"/>
      <c r="D30" s="274"/>
      <c r="E30" s="274"/>
      <c r="F30" s="274"/>
      <c r="G30" s="274"/>
      <c r="H30" s="274"/>
      <c r="I30" s="274"/>
      <c r="J30" s="274"/>
      <c r="K30" s="274"/>
      <c r="L30" s="274"/>
      <c r="M30" s="274"/>
      <c r="N30" s="274"/>
      <c r="O30" s="274"/>
      <c r="P30" s="274"/>
      <c r="Q30" s="274"/>
      <c r="R30" s="274"/>
      <c r="S30" s="275"/>
      <c r="T30" s="276">
        <f t="shared" si="1"/>
        <v>0</v>
      </c>
    </row>
    <row r="31" spans="1:20" ht="20.100000000000001" customHeight="1" x14ac:dyDescent="0.25">
      <c r="A31" s="268"/>
      <c r="B31" s="273"/>
      <c r="C31" s="274"/>
      <c r="D31" s="274"/>
      <c r="E31" s="274"/>
      <c r="F31" s="274"/>
      <c r="G31" s="274"/>
      <c r="H31" s="274"/>
      <c r="I31" s="274"/>
      <c r="J31" s="274"/>
      <c r="K31" s="274"/>
      <c r="L31" s="274"/>
      <c r="M31" s="274"/>
      <c r="N31" s="274"/>
      <c r="O31" s="274"/>
      <c r="P31" s="274"/>
      <c r="Q31" s="274"/>
      <c r="R31" s="274"/>
      <c r="S31" s="275"/>
      <c r="T31" s="276">
        <f t="shared" si="1"/>
        <v>0</v>
      </c>
    </row>
    <row r="32" spans="1:20" ht="20.100000000000001" customHeight="1" thickBot="1" x14ac:dyDescent="0.3">
      <c r="A32" s="277"/>
      <c r="B32" s="278"/>
      <c r="C32" s="279"/>
      <c r="D32" s="279"/>
      <c r="E32" s="279"/>
      <c r="F32" s="279"/>
      <c r="G32" s="279"/>
      <c r="H32" s="279"/>
      <c r="I32" s="279"/>
      <c r="J32" s="279"/>
      <c r="K32" s="279"/>
      <c r="L32" s="279"/>
      <c r="M32" s="279"/>
      <c r="N32" s="279"/>
      <c r="O32" s="279"/>
      <c r="P32" s="279"/>
      <c r="Q32" s="279"/>
      <c r="R32" s="279"/>
      <c r="S32" s="280"/>
      <c r="T32" s="281">
        <f t="shared" si="1"/>
        <v>0</v>
      </c>
    </row>
    <row r="33" spans="1:20" ht="20.100000000000001" customHeight="1" thickBot="1" x14ac:dyDescent="0.3">
      <c r="A33" s="282" t="s">
        <v>233</v>
      </c>
      <c r="B33" s="283">
        <f>SUM(B4:B32)</f>
        <v>0</v>
      </c>
      <c r="C33" s="284">
        <f t="shared" ref="C33:T33" si="2">SUM(C4:C32)</f>
        <v>20</v>
      </c>
      <c r="D33" s="284">
        <f t="shared" si="2"/>
        <v>140</v>
      </c>
      <c r="E33" s="284">
        <f t="shared" si="2"/>
        <v>140</v>
      </c>
      <c r="F33" s="284">
        <f t="shared" si="2"/>
        <v>55</v>
      </c>
      <c r="G33" s="284">
        <f t="shared" si="2"/>
        <v>10</v>
      </c>
      <c r="H33" s="284">
        <f t="shared" si="2"/>
        <v>10</v>
      </c>
      <c r="I33" s="284">
        <f t="shared" si="2"/>
        <v>10</v>
      </c>
      <c r="J33" s="284">
        <f t="shared" si="2"/>
        <v>10</v>
      </c>
      <c r="K33" s="284">
        <f t="shared" si="2"/>
        <v>0</v>
      </c>
      <c r="L33" s="284">
        <f t="shared" si="2"/>
        <v>0</v>
      </c>
      <c r="M33" s="284">
        <f t="shared" si="2"/>
        <v>0</v>
      </c>
      <c r="N33" s="284">
        <f t="shared" si="2"/>
        <v>0</v>
      </c>
      <c r="O33" s="284">
        <f t="shared" si="2"/>
        <v>0</v>
      </c>
      <c r="P33" s="284">
        <f t="shared" si="2"/>
        <v>0</v>
      </c>
      <c r="Q33" s="284">
        <f t="shared" si="2"/>
        <v>0</v>
      </c>
      <c r="R33" s="284">
        <f t="shared" si="2"/>
        <v>0</v>
      </c>
      <c r="S33" s="285">
        <f t="shared" si="2"/>
        <v>0</v>
      </c>
      <c r="T33" s="286">
        <f t="shared" si="2"/>
        <v>395</v>
      </c>
    </row>
    <row r="34" spans="1:20" ht="20.100000000000001" customHeight="1" x14ac:dyDescent="0.25">
      <c r="A34" s="287"/>
      <c r="B34" s="287"/>
      <c r="C34" s="287"/>
      <c r="D34" s="287"/>
      <c r="E34" s="287"/>
      <c r="F34" s="287"/>
      <c r="G34" s="287"/>
      <c r="H34" s="287"/>
      <c r="I34" s="287"/>
      <c r="J34" s="287"/>
      <c r="K34" s="287"/>
      <c r="L34" s="287"/>
      <c r="M34" s="287"/>
      <c r="N34" s="287"/>
      <c r="O34" s="287"/>
      <c r="P34" s="287"/>
      <c r="Q34" s="287"/>
      <c r="R34" s="287"/>
      <c r="S34" s="287"/>
      <c r="T34" s="287"/>
    </row>
    <row r="35" spans="1:20" ht="20.100000000000001" customHeight="1" x14ac:dyDescent="0.25">
      <c r="A35" s="287"/>
      <c r="B35" s="287"/>
      <c r="C35" s="287"/>
      <c r="D35" s="287"/>
      <c r="E35" s="287"/>
      <c r="F35" s="287"/>
      <c r="G35" s="287"/>
      <c r="H35" s="287"/>
      <c r="I35" s="287"/>
      <c r="J35" s="287"/>
      <c r="K35" s="287"/>
      <c r="L35" s="287"/>
      <c r="M35" s="287"/>
      <c r="N35" s="287"/>
      <c r="O35" s="287"/>
      <c r="P35" s="287"/>
      <c r="Q35" s="287"/>
      <c r="R35" s="287"/>
      <c r="S35" s="287"/>
      <c r="T35" s="287"/>
    </row>
    <row r="36" spans="1:20" x14ac:dyDescent="0.25">
      <c r="A36" s="287"/>
      <c r="B36" s="287"/>
      <c r="C36" s="287"/>
      <c r="D36" s="287"/>
      <c r="E36" s="287"/>
      <c r="F36" s="287"/>
      <c r="G36" s="287"/>
      <c r="H36" s="287"/>
      <c r="I36" s="287"/>
      <c r="J36" s="287"/>
      <c r="K36" s="287"/>
      <c r="L36" s="287"/>
      <c r="M36" s="287"/>
      <c r="N36" s="287"/>
      <c r="O36" s="287"/>
      <c r="P36" s="287"/>
      <c r="Q36" s="287"/>
      <c r="R36" s="287"/>
      <c r="S36" s="287"/>
      <c r="T36" s="287"/>
    </row>
    <row r="37" spans="1:20" x14ac:dyDescent="0.25">
      <c r="A37" s="288"/>
      <c r="B37" s="288"/>
      <c r="C37" s="288"/>
      <c r="D37" s="288"/>
      <c r="E37" s="288"/>
      <c r="F37" s="288"/>
      <c r="G37" s="288"/>
      <c r="H37" s="288"/>
      <c r="I37" s="288"/>
      <c r="J37" s="288"/>
      <c r="K37" s="288"/>
      <c r="L37" s="288"/>
      <c r="M37" s="288"/>
      <c r="N37" s="288"/>
      <c r="O37" s="288"/>
      <c r="P37" s="288"/>
      <c r="Q37" s="288"/>
      <c r="R37" s="288"/>
      <c r="S37" s="288"/>
      <c r="T37" s="288"/>
    </row>
    <row r="38" spans="1:20" x14ac:dyDescent="0.25">
      <c r="A38" s="288"/>
      <c r="B38" s="288"/>
      <c r="C38" s="288"/>
      <c r="D38" s="288"/>
      <c r="E38" s="288"/>
      <c r="F38" s="288"/>
      <c r="G38" s="288"/>
      <c r="H38" s="288"/>
      <c r="I38" s="288"/>
      <c r="J38" s="288"/>
      <c r="K38" s="288"/>
      <c r="L38" s="288"/>
      <c r="M38" s="288"/>
      <c r="N38" s="288"/>
      <c r="O38" s="288"/>
      <c r="P38" s="288"/>
      <c r="Q38" s="288"/>
      <c r="R38" s="288"/>
      <c r="S38" s="288"/>
      <c r="T38" s="288"/>
    </row>
    <row r="39" spans="1:20" x14ac:dyDescent="0.25">
      <c r="A39" s="288"/>
      <c r="B39" s="288"/>
      <c r="C39" s="288"/>
      <c r="D39" s="288"/>
      <c r="E39" s="288"/>
      <c r="F39" s="288"/>
      <c r="G39" s="288"/>
      <c r="H39" s="288"/>
      <c r="I39" s="288"/>
      <c r="J39" s="288"/>
      <c r="K39" s="288"/>
      <c r="L39" s="288"/>
      <c r="M39" s="288"/>
      <c r="N39" s="288"/>
      <c r="O39" s="288"/>
      <c r="P39" s="288"/>
      <c r="Q39" s="288"/>
      <c r="R39" s="288"/>
      <c r="S39" s="288"/>
      <c r="T39" s="288"/>
    </row>
    <row r="40" spans="1:20" x14ac:dyDescent="0.25">
      <c r="A40" s="288"/>
      <c r="B40" s="288"/>
      <c r="C40" s="288"/>
      <c r="D40" s="288"/>
      <c r="E40" s="288"/>
      <c r="F40" s="288"/>
      <c r="G40" s="288"/>
      <c r="H40" s="288"/>
      <c r="I40" s="288"/>
      <c r="J40" s="288"/>
      <c r="K40" s="288"/>
      <c r="L40" s="288"/>
      <c r="M40" s="288"/>
      <c r="N40" s="288"/>
      <c r="O40" s="288"/>
      <c r="P40" s="288"/>
      <c r="Q40" s="288"/>
      <c r="R40" s="288"/>
      <c r="S40" s="288"/>
      <c r="T40" s="288"/>
    </row>
    <row r="41" spans="1:20" x14ac:dyDescent="0.25">
      <c r="A41" s="288"/>
      <c r="B41" s="288"/>
      <c r="C41" s="288"/>
      <c r="D41" s="288"/>
      <c r="E41" s="288"/>
      <c r="F41" s="288"/>
      <c r="G41" s="288"/>
      <c r="H41" s="288"/>
      <c r="I41" s="288"/>
      <c r="J41" s="288"/>
      <c r="K41" s="288"/>
      <c r="L41" s="288"/>
      <c r="M41" s="288"/>
      <c r="N41" s="288"/>
      <c r="O41" s="288"/>
      <c r="P41" s="288"/>
      <c r="Q41" s="288"/>
      <c r="R41" s="288"/>
      <c r="S41" s="288"/>
      <c r="T41" s="288"/>
    </row>
    <row r="42" spans="1:20" x14ac:dyDescent="0.25">
      <c r="A42" s="288"/>
      <c r="B42" s="288"/>
      <c r="C42" s="288"/>
      <c r="D42" s="288"/>
      <c r="E42" s="288"/>
      <c r="F42" s="288"/>
      <c r="G42" s="288"/>
      <c r="H42" s="288"/>
      <c r="I42" s="288"/>
      <c r="J42" s="288"/>
      <c r="K42" s="288"/>
      <c r="L42" s="288"/>
      <c r="M42" s="288"/>
      <c r="N42" s="288"/>
      <c r="O42" s="288"/>
      <c r="P42" s="288"/>
      <c r="Q42" s="288"/>
      <c r="R42" s="288"/>
      <c r="S42" s="288"/>
      <c r="T42" s="288"/>
    </row>
    <row r="43" spans="1:20" x14ac:dyDescent="0.25">
      <c r="A43" s="288"/>
      <c r="B43" s="288"/>
      <c r="C43" s="288"/>
      <c r="D43" s="288"/>
      <c r="E43" s="288"/>
      <c r="F43" s="288"/>
      <c r="G43" s="288"/>
      <c r="H43" s="288"/>
      <c r="I43" s="288"/>
      <c r="J43" s="288"/>
      <c r="K43" s="288"/>
      <c r="L43" s="288"/>
      <c r="M43" s="288"/>
      <c r="N43" s="288"/>
      <c r="O43" s="288"/>
      <c r="P43" s="288"/>
      <c r="Q43" s="288"/>
      <c r="R43" s="288"/>
      <c r="S43" s="288"/>
      <c r="T43" s="288"/>
    </row>
    <row r="44" spans="1:20" x14ac:dyDescent="0.25">
      <c r="A44" s="288"/>
      <c r="B44" s="288"/>
      <c r="C44" s="288"/>
      <c r="D44" s="288"/>
      <c r="E44" s="288"/>
      <c r="F44" s="288"/>
      <c r="G44" s="288"/>
      <c r="H44" s="288"/>
      <c r="I44" s="288"/>
      <c r="J44" s="288"/>
      <c r="K44" s="288"/>
      <c r="L44" s="288"/>
      <c r="M44" s="288"/>
      <c r="N44" s="288"/>
      <c r="O44" s="288"/>
      <c r="P44" s="288"/>
      <c r="Q44" s="288"/>
      <c r="R44" s="288"/>
      <c r="S44" s="288"/>
      <c r="T44" s="288"/>
    </row>
    <row r="45" spans="1:20" x14ac:dyDescent="0.25">
      <c r="A45" s="288"/>
      <c r="B45" s="288"/>
      <c r="C45" s="288"/>
      <c r="D45" s="288"/>
      <c r="E45" s="288"/>
      <c r="F45" s="288"/>
      <c r="G45" s="288"/>
      <c r="H45" s="288"/>
      <c r="I45" s="288"/>
      <c r="J45" s="288"/>
      <c r="K45" s="288"/>
      <c r="L45" s="288"/>
      <c r="M45" s="288"/>
      <c r="N45" s="288"/>
      <c r="O45" s="288"/>
      <c r="P45" s="288"/>
      <c r="Q45" s="288"/>
      <c r="R45" s="288"/>
      <c r="S45" s="288"/>
      <c r="T45" s="288"/>
    </row>
    <row r="46" spans="1:20" x14ac:dyDescent="0.25">
      <c r="A46" s="288"/>
      <c r="B46" s="288"/>
      <c r="C46" s="288"/>
      <c r="D46" s="288"/>
      <c r="E46" s="288"/>
      <c r="F46" s="288"/>
      <c r="G46" s="288"/>
      <c r="H46" s="288"/>
      <c r="I46" s="288"/>
      <c r="J46" s="288"/>
      <c r="K46" s="288"/>
      <c r="L46" s="288"/>
      <c r="M46" s="288"/>
      <c r="N46" s="288"/>
      <c r="O46" s="288"/>
      <c r="P46" s="288"/>
      <c r="Q46" s="288"/>
      <c r="R46" s="288"/>
      <c r="S46" s="288"/>
      <c r="T46" s="288"/>
    </row>
    <row r="47" spans="1:20" x14ac:dyDescent="0.25">
      <c r="A47" s="288"/>
      <c r="B47" s="288"/>
      <c r="C47" s="288"/>
      <c r="D47" s="288"/>
      <c r="E47" s="288"/>
      <c r="F47" s="288"/>
      <c r="G47" s="288"/>
      <c r="H47" s="288"/>
      <c r="I47" s="288"/>
      <c r="J47" s="288"/>
      <c r="K47" s="288"/>
      <c r="L47" s="288"/>
      <c r="M47" s="288"/>
      <c r="N47" s="288"/>
      <c r="O47" s="288"/>
      <c r="P47" s="288"/>
      <c r="Q47" s="288"/>
      <c r="R47" s="288"/>
      <c r="S47" s="288"/>
      <c r="T47" s="288"/>
    </row>
    <row r="48" spans="1:20" x14ac:dyDescent="0.25">
      <c r="A48" s="288"/>
      <c r="B48" s="288"/>
      <c r="C48" s="288"/>
      <c r="D48" s="288"/>
      <c r="E48" s="288"/>
      <c r="F48" s="288"/>
      <c r="G48" s="288"/>
      <c r="H48" s="288"/>
      <c r="I48" s="288"/>
      <c r="J48" s="288"/>
      <c r="K48" s="288"/>
      <c r="L48" s="288"/>
      <c r="M48" s="288"/>
      <c r="N48" s="288"/>
      <c r="O48" s="288"/>
      <c r="P48" s="288"/>
      <c r="Q48" s="288"/>
      <c r="R48" s="288"/>
      <c r="S48" s="288"/>
      <c r="T48" s="288"/>
    </row>
    <row r="49" spans="1:20" x14ac:dyDescent="0.25">
      <c r="A49" s="288"/>
      <c r="B49" s="288"/>
      <c r="C49" s="288"/>
      <c r="D49" s="288"/>
      <c r="E49" s="288"/>
      <c r="F49" s="288"/>
      <c r="G49" s="288"/>
      <c r="H49" s="288"/>
      <c r="I49" s="288"/>
      <c r="J49" s="288"/>
      <c r="K49" s="288"/>
      <c r="L49" s="288"/>
      <c r="M49" s="288"/>
      <c r="N49" s="288"/>
      <c r="O49" s="288"/>
      <c r="P49" s="288"/>
      <c r="Q49" s="288"/>
      <c r="R49" s="288"/>
      <c r="S49" s="288"/>
      <c r="T49" s="288"/>
    </row>
    <row r="50" spans="1:20" x14ac:dyDescent="0.25">
      <c r="A50" s="288"/>
      <c r="B50" s="288"/>
      <c r="C50" s="288"/>
      <c r="D50" s="288"/>
      <c r="E50" s="288"/>
      <c r="F50" s="288"/>
      <c r="G50" s="288"/>
      <c r="H50" s="288"/>
      <c r="I50" s="288"/>
      <c r="J50" s="288"/>
      <c r="K50" s="288"/>
      <c r="L50" s="288"/>
      <c r="M50" s="288"/>
      <c r="N50" s="288"/>
      <c r="O50" s="288"/>
      <c r="P50" s="288"/>
      <c r="Q50" s="288"/>
      <c r="R50" s="288"/>
      <c r="S50" s="288"/>
      <c r="T50" s="288"/>
    </row>
    <row r="51" spans="1:20" x14ac:dyDescent="0.25">
      <c r="A51" s="288"/>
      <c r="B51" s="288"/>
      <c r="C51" s="288"/>
      <c r="D51" s="288"/>
      <c r="E51" s="288"/>
      <c r="F51" s="288"/>
      <c r="G51" s="288"/>
      <c r="H51" s="288"/>
      <c r="I51" s="288"/>
      <c r="J51" s="288"/>
      <c r="K51" s="288"/>
      <c r="L51" s="288"/>
      <c r="M51" s="288"/>
      <c r="N51" s="288"/>
      <c r="O51" s="288"/>
      <c r="P51" s="288"/>
      <c r="Q51" s="288"/>
      <c r="R51" s="288"/>
      <c r="S51" s="288"/>
      <c r="T51" s="288"/>
    </row>
    <row r="52" spans="1:20" x14ac:dyDescent="0.25">
      <c r="A52" s="288"/>
      <c r="B52" s="288"/>
      <c r="C52" s="288"/>
      <c r="D52" s="288"/>
      <c r="E52" s="288"/>
      <c r="F52" s="288"/>
      <c r="G52" s="288"/>
      <c r="H52" s="288"/>
      <c r="I52" s="288"/>
      <c r="J52" s="288"/>
      <c r="K52" s="288"/>
      <c r="L52" s="288"/>
      <c r="M52" s="288"/>
      <c r="N52" s="288"/>
      <c r="O52" s="288"/>
      <c r="P52" s="288"/>
      <c r="Q52" s="288"/>
      <c r="R52" s="288"/>
      <c r="S52" s="288"/>
      <c r="T52" s="288"/>
    </row>
    <row r="53" spans="1:20" x14ac:dyDescent="0.25">
      <c r="A53" s="288"/>
      <c r="B53" s="288"/>
      <c r="C53" s="288"/>
      <c r="D53" s="288"/>
      <c r="E53" s="288"/>
      <c r="F53" s="288"/>
      <c r="G53" s="288"/>
      <c r="H53" s="288"/>
      <c r="I53" s="288"/>
      <c r="J53" s="288"/>
      <c r="K53" s="288"/>
      <c r="L53" s="288"/>
      <c r="M53" s="288"/>
      <c r="N53" s="288"/>
      <c r="O53" s="288"/>
      <c r="P53" s="288"/>
      <c r="Q53" s="288"/>
      <c r="R53" s="288"/>
      <c r="S53" s="288"/>
      <c r="T53" s="288"/>
    </row>
    <row r="54" spans="1:20" x14ac:dyDescent="0.25">
      <c r="A54" s="288"/>
      <c r="B54" s="288"/>
      <c r="C54" s="288"/>
      <c r="D54" s="288"/>
      <c r="E54" s="288"/>
      <c r="F54" s="288"/>
      <c r="G54" s="288"/>
      <c r="H54" s="288"/>
      <c r="I54" s="288"/>
      <c r="J54" s="288"/>
      <c r="K54" s="288"/>
      <c r="L54" s="288"/>
      <c r="M54" s="288"/>
      <c r="N54" s="288"/>
      <c r="O54" s="288"/>
      <c r="P54" s="288"/>
      <c r="Q54" s="288"/>
      <c r="R54" s="288"/>
      <c r="S54" s="288"/>
      <c r="T54" s="288"/>
    </row>
    <row r="55" spans="1:20" x14ac:dyDescent="0.25">
      <c r="A55" s="288"/>
      <c r="B55" s="288"/>
      <c r="C55" s="288"/>
      <c r="D55" s="288"/>
      <c r="E55" s="288"/>
      <c r="F55" s="288"/>
      <c r="G55" s="288"/>
      <c r="H55" s="288"/>
      <c r="I55" s="288"/>
      <c r="J55" s="288"/>
      <c r="K55" s="288"/>
      <c r="L55" s="288"/>
      <c r="M55" s="288"/>
      <c r="N55" s="288"/>
      <c r="O55" s="288"/>
      <c r="P55" s="288"/>
      <c r="Q55" s="288"/>
      <c r="R55" s="288"/>
      <c r="S55" s="288"/>
      <c r="T55" s="288"/>
    </row>
    <row r="56" spans="1:20" x14ac:dyDescent="0.25">
      <c r="A56" s="288"/>
      <c r="B56" s="288"/>
      <c r="C56" s="288"/>
      <c r="D56" s="288"/>
      <c r="E56" s="288"/>
      <c r="F56" s="288"/>
      <c r="G56" s="288"/>
      <c r="H56" s="288"/>
      <c r="I56" s="288"/>
      <c r="J56" s="288"/>
      <c r="K56" s="288"/>
      <c r="L56" s="288"/>
      <c r="M56" s="288"/>
      <c r="N56" s="288"/>
      <c r="O56" s="288"/>
      <c r="P56" s="288"/>
      <c r="Q56" s="288"/>
      <c r="R56" s="288"/>
      <c r="S56" s="288"/>
      <c r="T56" s="288"/>
    </row>
    <row r="57" spans="1:20" x14ac:dyDescent="0.25">
      <c r="A57" s="288"/>
      <c r="B57" s="288"/>
      <c r="C57" s="288"/>
      <c r="D57" s="288"/>
      <c r="E57" s="288"/>
      <c r="F57" s="288"/>
      <c r="G57" s="288"/>
      <c r="H57" s="288"/>
      <c r="I57" s="288"/>
      <c r="J57" s="288"/>
      <c r="K57" s="288"/>
      <c r="L57" s="288"/>
      <c r="M57" s="288"/>
      <c r="N57" s="288"/>
      <c r="O57" s="288"/>
      <c r="P57" s="288"/>
      <c r="Q57" s="288"/>
      <c r="R57" s="288"/>
      <c r="S57" s="288"/>
      <c r="T57" s="288"/>
    </row>
    <row r="58" spans="1:20" x14ac:dyDescent="0.25">
      <c r="A58" s="288"/>
      <c r="B58" s="288"/>
      <c r="C58" s="288"/>
      <c r="D58" s="288"/>
      <c r="E58" s="288"/>
      <c r="F58" s="288"/>
      <c r="G58" s="288"/>
      <c r="H58" s="288"/>
      <c r="I58" s="288"/>
      <c r="J58" s="288"/>
      <c r="K58" s="288"/>
      <c r="L58" s="288"/>
      <c r="M58" s="288"/>
      <c r="N58" s="288"/>
      <c r="O58" s="288"/>
      <c r="P58" s="288"/>
      <c r="Q58" s="288"/>
      <c r="R58" s="288"/>
      <c r="S58" s="288"/>
      <c r="T58" s="288"/>
    </row>
  </sheetData>
  <sheetProtection algorithmName="SHA-512" hashValue="uTv49m8gMkgWM1jEp1o73C9zq0uT5jkibizx0nm5ewxg0peY2N7pyMBIW05NsWeLwxVs7TmUuGgAZpcwrXUXuA==" saltValue="Wts9Ao4VotTXwLdr6Hba2Q==" spinCount="100000" sheet="1" objects="1" scenarios="1"/>
  <mergeCells count="2">
    <mergeCell ref="A1:T1"/>
    <mergeCell ref="A2:T2"/>
  </mergeCells>
  <pageMargins left="0.35" right="0.35" top="0.35" bottom="0.35" header="0.3" footer="0.3"/>
  <pageSetup scale="57" fitToHeight="0" orientation="landscape" r:id="rId1"/>
  <ignoredErrors>
    <ignoredError sqref="B33:S33" formulaRange="1"/>
  </ignoredErrors>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Hidden!$E$2:$E$78</xm:f>
          </x14:formula1>
          <xm:sqref>A4:A32</xm:sqref>
        </x14:dataValidation>
        <x14:dataValidation type="list" allowBlank="1" showInputMessage="1" showErrorMessage="1">
          <x14:formula1>
            <xm:f>Hidden!$E$2:$E$78</xm:f>
          </x14:formula1>
          <xm:sqref>A34:A1048576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9"/>
  <sheetViews>
    <sheetView showGridLines="0" topLeftCell="A13" workbookViewId="0">
      <selection activeCell="B24" sqref="B24:H27"/>
    </sheetView>
  </sheetViews>
  <sheetFormatPr defaultRowHeight="12.75" x14ac:dyDescent="0.2"/>
  <cols>
    <col min="1" max="1" width="23" style="10" customWidth="1"/>
    <col min="2" max="2" width="11.85546875" style="1" customWidth="1"/>
    <col min="3" max="3" width="12" style="1" customWidth="1"/>
    <col min="4" max="4" width="13.85546875" style="1" customWidth="1"/>
    <col min="5" max="5" width="12.28515625" style="1" bestFit="1" customWidth="1"/>
    <col min="6" max="6" width="15.5703125" style="1" customWidth="1"/>
    <col min="7" max="7" width="11.5703125" style="1" customWidth="1"/>
    <col min="8" max="8" width="16.7109375" style="1" customWidth="1"/>
    <col min="9" max="256" width="9.140625" style="1"/>
    <col min="257" max="257" width="23" style="1" customWidth="1"/>
    <col min="258" max="258" width="11.85546875" style="1" customWidth="1"/>
    <col min="259" max="259" width="12" style="1" customWidth="1"/>
    <col min="260" max="260" width="13.85546875" style="1" customWidth="1"/>
    <col min="261" max="261" width="12.28515625" style="1" bestFit="1" customWidth="1"/>
    <col min="262" max="262" width="15.5703125" style="1" customWidth="1"/>
    <col min="263" max="263" width="11.5703125" style="1" customWidth="1"/>
    <col min="264" max="264" width="16.7109375" style="1" customWidth="1"/>
    <col min="265" max="512" width="9.140625" style="1"/>
    <col min="513" max="513" width="23" style="1" customWidth="1"/>
    <col min="514" max="514" width="11.85546875" style="1" customWidth="1"/>
    <col min="515" max="515" width="12" style="1" customWidth="1"/>
    <col min="516" max="516" width="13.85546875" style="1" customWidth="1"/>
    <col min="517" max="517" width="12.28515625" style="1" bestFit="1" customWidth="1"/>
    <col min="518" max="518" width="15.5703125" style="1" customWidth="1"/>
    <col min="519" max="519" width="11.5703125" style="1" customWidth="1"/>
    <col min="520" max="520" width="16.7109375" style="1" customWidth="1"/>
    <col min="521" max="768" width="9.140625" style="1"/>
    <col min="769" max="769" width="23" style="1" customWidth="1"/>
    <col min="770" max="770" width="11.85546875" style="1" customWidth="1"/>
    <col min="771" max="771" width="12" style="1" customWidth="1"/>
    <col min="772" max="772" width="13.85546875" style="1" customWidth="1"/>
    <col min="773" max="773" width="12.28515625" style="1" bestFit="1" customWidth="1"/>
    <col min="774" max="774" width="15.5703125" style="1" customWidth="1"/>
    <col min="775" max="775" width="11.5703125" style="1" customWidth="1"/>
    <col min="776" max="776" width="16.7109375" style="1" customWidth="1"/>
    <col min="777" max="1024" width="9.140625" style="1"/>
    <col min="1025" max="1025" width="23" style="1" customWidth="1"/>
    <col min="1026" max="1026" width="11.85546875" style="1" customWidth="1"/>
    <col min="1027" max="1027" width="12" style="1" customWidth="1"/>
    <col min="1028" max="1028" width="13.85546875" style="1" customWidth="1"/>
    <col min="1029" max="1029" width="12.28515625" style="1" bestFit="1" customWidth="1"/>
    <col min="1030" max="1030" width="15.5703125" style="1" customWidth="1"/>
    <col min="1031" max="1031" width="11.5703125" style="1" customWidth="1"/>
    <col min="1032" max="1032" width="16.7109375" style="1" customWidth="1"/>
    <col min="1033" max="1280" width="9.140625" style="1"/>
    <col min="1281" max="1281" width="23" style="1" customWidth="1"/>
    <col min="1282" max="1282" width="11.85546875" style="1" customWidth="1"/>
    <col min="1283" max="1283" width="12" style="1" customWidth="1"/>
    <col min="1284" max="1284" width="13.85546875" style="1" customWidth="1"/>
    <col min="1285" max="1285" width="12.28515625" style="1" bestFit="1" customWidth="1"/>
    <col min="1286" max="1286" width="15.5703125" style="1" customWidth="1"/>
    <col min="1287" max="1287" width="11.5703125" style="1" customWidth="1"/>
    <col min="1288" max="1288" width="16.7109375" style="1" customWidth="1"/>
    <col min="1289" max="1536" width="9.140625" style="1"/>
    <col min="1537" max="1537" width="23" style="1" customWidth="1"/>
    <col min="1538" max="1538" width="11.85546875" style="1" customWidth="1"/>
    <col min="1539" max="1539" width="12" style="1" customWidth="1"/>
    <col min="1540" max="1540" width="13.85546875" style="1" customWidth="1"/>
    <col min="1541" max="1541" width="12.28515625" style="1" bestFit="1" customWidth="1"/>
    <col min="1542" max="1542" width="15.5703125" style="1" customWidth="1"/>
    <col min="1543" max="1543" width="11.5703125" style="1" customWidth="1"/>
    <col min="1544" max="1544" width="16.7109375" style="1" customWidth="1"/>
    <col min="1545" max="1792" width="9.140625" style="1"/>
    <col min="1793" max="1793" width="23" style="1" customWidth="1"/>
    <col min="1794" max="1794" width="11.85546875" style="1" customWidth="1"/>
    <col min="1795" max="1795" width="12" style="1" customWidth="1"/>
    <col min="1796" max="1796" width="13.85546875" style="1" customWidth="1"/>
    <col min="1797" max="1797" width="12.28515625" style="1" bestFit="1" customWidth="1"/>
    <col min="1798" max="1798" width="15.5703125" style="1" customWidth="1"/>
    <col min="1799" max="1799" width="11.5703125" style="1" customWidth="1"/>
    <col min="1800" max="1800" width="16.7109375" style="1" customWidth="1"/>
    <col min="1801" max="2048" width="9.140625" style="1"/>
    <col min="2049" max="2049" width="23" style="1" customWidth="1"/>
    <col min="2050" max="2050" width="11.85546875" style="1" customWidth="1"/>
    <col min="2051" max="2051" width="12" style="1" customWidth="1"/>
    <col min="2052" max="2052" width="13.85546875" style="1" customWidth="1"/>
    <col min="2053" max="2053" width="12.28515625" style="1" bestFit="1" customWidth="1"/>
    <col min="2054" max="2054" width="15.5703125" style="1" customWidth="1"/>
    <col min="2055" max="2055" width="11.5703125" style="1" customWidth="1"/>
    <col min="2056" max="2056" width="16.7109375" style="1" customWidth="1"/>
    <col min="2057" max="2304" width="9.140625" style="1"/>
    <col min="2305" max="2305" width="23" style="1" customWidth="1"/>
    <col min="2306" max="2306" width="11.85546875" style="1" customWidth="1"/>
    <col min="2307" max="2307" width="12" style="1" customWidth="1"/>
    <col min="2308" max="2308" width="13.85546875" style="1" customWidth="1"/>
    <col min="2309" max="2309" width="12.28515625" style="1" bestFit="1" customWidth="1"/>
    <col min="2310" max="2310" width="15.5703125" style="1" customWidth="1"/>
    <col min="2311" max="2311" width="11.5703125" style="1" customWidth="1"/>
    <col min="2312" max="2312" width="16.7109375" style="1" customWidth="1"/>
    <col min="2313" max="2560" width="9.140625" style="1"/>
    <col min="2561" max="2561" width="23" style="1" customWidth="1"/>
    <col min="2562" max="2562" width="11.85546875" style="1" customWidth="1"/>
    <col min="2563" max="2563" width="12" style="1" customWidth="1"/>
    <col min="2564" max="2564" width="13.85546875" style="1" customWidth="1"/>
    <col min="2565" max="2565" width="12.28515625" style="1" bestFit="1" customWidth="1"/>
    <col min="2566" max="2566" width="15.5703125" style="1" customWidth="1"/>
    <col min="2567" max="2567" width="11.5703125" style="1" customWidth="1"/>
    <col min="2568" max="2568" width="16.7109375" style="1" customWidth="1"/>
    <col min="2569" max="2816" width="9.140625" style="1"/>
    <col min="2817" max="2817" width="23" style="1" customWidth="1"/>
    <col min="2818" max="2818" width="11.85546875" style="1" customWidth="1"/>
    <col min="2819" max="2819" width="12" style="1" customWidth="1"/>
    <col min="2820" max="2820" width="13.85546875" style="1" customWidth="1"/>
    <col min="2821" max="2821" width="12.28515625" style="1" bestFit="1" customWidth="1"/>
    <col min="2822" max="2822" width="15.5703125" style="1" customWidth="1"/>
    <col min="2823" max="2823" width="11.5703125" style="1" customWidth="1"/>
    <col min="2824" max="2824" width="16.7109375" style="1" customWidth="1"/>
    <col min="2825" max="3072" width="9.140625" style="1"/>
    <col min="3073" max="3073" width="23" style="1" customWidth="1"/>
    <col min="3074" max="3074" width="11.85546875" style="1" customWidth="1"/>
    <col min="3075" max="3075" width="12" style="1" customWidth="1"/>
    <col min="3076" max="3076" width="13.85546875" style="1" customWidth="1"/>
    <col min="3077" max="3077" width="12.28515625" style="1" bestFit="1" customWidth="1"/>
    <col min="3078" max="3078" width="15.5703125" style="1" customWidth="1"/>
    <col min="3079" max="3079" width="11.5703125" style="1" customWidth="1"/>
    <col min="3080" max="3080" width="16.7109375" style="1" customWidth="1"/>
    <col min="3081" max="3328" width="9.140625" style="1"/>
    <col min="3329" max="3329" width="23" style="1" customWidth="1"/>
    <col min="3330" max="3330" width="11.85546875" style="1" customWidth="1"/>
    <col min="3331" max="3331" width="12" style="1" customWidth="1"/>
    <col min="3332" max="3332" width="13.85546875" style="1" customWidth="1"/>
    <col min="3333" max="3333" width="12.28515625" style="1" bestFit="1" customWidth="1"/>
    <col min="3334" max="3334" width="15.5703125" style="1" customWidth="1"/>
    <col min="3335" max="3335" width="11.5703125" style="1" customWidth="1"/>
    <col min="3336" max="3336" width="16.7109375" style="1" customWidth="1"/>
    <col min="3337" max="3584" width="9.140625" style="1"/>
    <col min="3585" max="3585" width="23" style="1" customWidth="1"/>
    <col min="3586" max="3586" width="11.85546875" style="1" customWidth="1"/>
    <col min="3587" max="3587" width="12" style="1" customWidth="1"/>
    <col min="3588" max="3588" width="13.85546875" style="1" customWidth="1"/>
    <col min="3589" max="3589" width="12.28515625" style="1" bestFit="1" customWidth="1"/>
    <col min="3590" max="3590" width="15.5703125" style="1" customWidth="1"/>
    <col min="3591" max="3591" width="11.5703125" style="1" customWidth="1"/>
    <col min="3592" max="3592" width="16.7109375" style="1" customWidth="1"/>
    <col min="3593" max="3840" width="9.140625" style="1"/>
    <col min="3841" max="3841" width="23" style="1" customWidth="1"/>
    <col min="3842" max="3842" width="11.85546875" style="1" customWidth="1"/>
    <col min="3843" max="3843" width="12" style="1" customWidth="1"/>
    <col min="3844" max="3844" width="13.85546875" style="1" customWidth="1"/>
    <col min="3845" max="3845" width="12.28515625" style="1" bestFit="1" customWidth="1"/>
    <col min="3846" max="3846" width="15.5703125" style="1" customWidth="1"/>
    <col min="3847" max="3847" width="11.5703125" style="1" customWidth="1"/>
    <col min="3848" max="3848" width="16.7109375" style="1" customWidth="1"/>
    <col min="3849" max="4096" width="9.140625" style="1"/>
    <col min="4097" max="4097" width="23" style="1" customWidth="1"/>
    <col min="4098" max="4098" width="11.85546875" style="1" customWidth="1"/>
    <col min="4099" max="4099" width="12" style="1" customWidth="1"/>
    <col min="4100" max="4100" width="13.85546875" style="1" customWidth="1"/>
    <col min="4101" max="4101" width="12.28515625" style="1" bestFit="1" customWidth="1"/>
    <col min="4102" max="4102" width="15.5703125" style="1" customWidth="1"/>
    <col min="4103" max="4103" width="11.5703125" style="1" customWidth="1"/>
    <col min="4104" max="4104" width="16.7109375" style="1" customWidth="1"/>
    <col min="4105" max="4352" width="9.140625" style="1"/>
    <col min="4353" max="4353" width="23" style="1" customWidth="1"/>
    <col min="4354" max="4354" width="11.85546875" style="1" customWidth="1"/>
    <col min="4355" max="4355" width="12" style="1" customWidth="1"/>
    <col min="4356" max="4356" width="13.85546875" style="1" customWidth="1"/>
    <col min="4357" max="4357" width="12.28515625" style="1" bestFit="1" customWidth="1"/>
    <col min="4358" max="4358" width="15.5703125" style="1" customWidth="1"/>
    <col min="4359" max="4359" width="11.5703125" style="1" customWidth="1"/>
    <col min="4360" max="4360" width="16.7109375" style="1" customWidth="1"/>
    <col min="4361" max="4608" width="9.140625" style="1"/>
    <col min="4609" max="4609" width="23" style="1" customWidth="1"/>
    <col min="4610" max="4610" width="11.85546875" style="1" customWidth="1"/>
    <col min="4611" max="4611" width="12" style="1" customWidth="1"/>
    <col min="4612" max="4612" width="13.85546875" style="1" customWidth="1"/>
    <col min="4613" max="4613" width="12.28515625" style="1" bestFit="1" customWidth="1"/>
    <col min="4614" max="4614" width="15.5703125" style="1" customWidth="1"/>
    <col min="4615" max="4615" width="11.5703125" style="1" customWidth="1"/>
    <col min="4616" max="4616" width="16.7109375" style="1" customWidth="1"/>
    <col min="4617" max="4864" width="9.140625" style="1"/>
    <col min="4865" max="4865" width="23" style="1" customWidth="1"/>
    <col min="4866" max="4866" width="11.85546875" style="1" customWidth="1"/>
    <col min="4867" max="4867" width="12" style="1" customWidth="1"/>
    <col min="4868" max="4868" width="13.85546875" style="1" customWidth="1"/>
    <col min="4869" max="4869" width="12.28515625" style="1" bestFit="1" customWidth="1"/>
    <col min="4870" max="4870" width="15.5703125" style="1" customWidth="1"/>
    <col min="4871" max="4871" width="11.5703125" style="1" customWidth="1"/>
    <col min="4872" max="4872" width="16.7109375" style="1" customWidth="1"/>
    <col min="4873" max="5120" width="9.140625" style="1"/>
    <col min="5121" max="5121" width="23" style="1" customWidth="1"/>
    <col min="5122" max="5122" width="11.85546875" style="1" customWidth="1"/>
    <col min="5123" max="5123" width="12" style="1" customWidth="1"/>
    <col min="5124" max="5124" width="13.85546875" style="1" customWidth="1"/>
    <col min="5125" max="5125" width="12.28515625" style="1" bestFit="1" customWidth="1"/>
    <col min="5126" max="5126" width="15.5703125" style="1" customWidth="1"/>
    <col min="5127" max="5127" width="11.5703125" style="1" customWidth="1"/>
    <col min="5128" max="5128" width="16.7109375" style="1" customWidth="1"/>
    <col min="5129" max="5376" width="9.140625" style="1"/>
    <col min="5377" max="5377" width="23" style="1" customWidth="1"/>
    <col min="5378" max="5378" width="11.85546875" style="1" customWidth="1"/>
    <col min="5379" max="5379" width="12" style="1" customWidth="1"/>
    <col min="5380" max="5380" width="13.85546875" style="1" customWidth="1"/>
    <col min="5381" max="5381" width="12.28515625" style="1" bestFit="1" customWidth="1"/>
    <col min="5382" max="5382" width="15.5703125" style="1" customWidth="1"/>
    <col min="5383" max="5383" width="11.5703125" style="1" customWidth="1"/>
    <col min="5384" max="5384" width="16.7109375" style="1" customWidth="1"/>
    <col min="5385" max="5632" width="9.140625" style="1"/>
    <col min="5633" max="5633" width="23" style="1" customWidth="1"/>
    <col min="5634" max="5634" width="11.85546875" style="1" customWidth="1"/>
    <col min="5635" max="5635" width="12" style="1" customWidth="1"/>
    <col min="5636" max="5636" width="13.85546875" style="1" customWidth="1"/>
    <col min="5637" max="5637" width="12.28515625" style="1" bestFit="1" customWidth="1"/>
    <col min="5638" max="5638" width="15.5703125" style="1" customWidth="1"/>
    <col min="5639" max="5639" width="11.5703125" style="1" customWidth="1"/>
    <col min="5640" max="5640" width="16.7109375" style="1" customWidth="1"/>
    <col min="5641" max="5888" width="9.140625" style="1"/>
    <col min="5889" max="5889" width="23" style="1" customWidth="1"/>
    <col min="5890" max="5890" width="11.85546875" style="1" customWidth="1"/>
    <col min="5891" max="5891" width="12" style="1" customWidth="1"/>
    <col min="5892" max="5892" width="13.85546875" style="1" customWidth="1"/>
    <col min="5893" max="5893" width="12.28515625" style="1" bestFit="1" customWidth="1"/>
    <col min="5894" max="5894" width="15.5703125" style="1" customWidth="1"/>
    <col min="5895" max="5895" width="11.5703125" style="1" customWidth="1"/>
    <col min="5896" max="5896" width="16.7109375" style="1" customWidth="1"/>
    <col min="5897" max="6144" width="9.140625" style="1"/>
    <col min="6145" max="6145" width="23" style="1" customWidth="1"/>
    <col min="6146" max="6146" width="11.85546875" style="1" customWidth="1"/>
    <col min="6147" max="6147" width="12" style="1" customWidth="1"/>
    <col min="6148" max="6148" width="13.85546875" style="1" customWidth="1"/>
    <col min="6149" max="6149" width="12.28515625" style="1" bestFit="1" customWidth="1"/>
    <col min="6150" max="6150" width="15.5703125" style="1" customWidth="1"/>
    <col min="6151" max="6151" width="11.5703125" style="1" customWidth="1"/>
    <col min="6152" max="6152" width="16.7109375" style="1" customWidth="1"/>
    <col min="6153" max="6400" width="9.140625" style="1"/>
    <col min="6401" max="6401" width="23" style="1" customWidth="1"/>
    <col min="6402" max="6402" width="11.85546875" style="1" customWidth="1"/>
    <col min="6403" max="6403" width="12" style="1" customWidth="1"/>
    <col min="6404" max="6404" width="13.85546875" style="1" customWidth="1"/>
    <col min="6405" max="6405" width="12.28515625" style="1" bestFit="1" customWidth="1"/>
    <col min="6406" max="6406" width="15.5703125" style="1" customWidth="1"/>
    <col min="6407" max="6407" width="11.5703125" style="1" customWidth="1"/>
    <col min="6408" max="6408" width="16.7109375" style="1" customWidth="1"/>
    <col min="6409" max="6656" width="9.140625" style="1"/>
    <col min="6657" max="6657" width="23" style="1" customWidth="1"/>
    <col min="6658" max="6658" width="11.85546875" style="1" customWidth="1"/>
    <col min="6659" max="6659" width="12" style="1" customWidth="1"/>
    <col min="6660" max="6660" width="13.85546875" style="1" customWidth="1"/>
    <col min="6661" max="6661" width="12.28515625" style="1" bestFit="1" customWidth="1"/>
    <col min="6662" max="6662" width="15.5703125" style="1" customWidth="1"/>
    <col min="6663" max="6663" width="11.5703125" style="1" customWidth="1"/>
    <col min="6664" max="6664" width="16.7109375" style="1" customWidth="1"/>
    <col min="6665" max="6912" width="9.140625" style="1"/>
    <col min="6913" max="6913" width="23" style="1" customWidth="1"/>
    <col min="6914" max="6914" width="11.85546875" style="1" customWidth="1"/>
    <col min="6915" max="6915" width="12" style="1" customWidth="1"/>
    <col min="6916" max="6916" width="13.85546875" style="1" customWidth="1"/>
    <col min="6917" max="6917" width="12.28515625" style="1" bestFit="1" customWidth="1"/>
    <col min="6918" max="6918" width="15.5703125" style="1" customWidth="1"/>
    <col min="6919" max="6919" width="11.5703125" style="1" customWidth="1"/>
    <col min="6920" max="6920" width="16.7109375" style="1" customWidth="1"/>
    <col min="6921" max="7168" width="9.140625" style="1"/>
    <col min="7169" max="7169" width="23" style="1" customWidth="1"/>
    <col min="7170" max="7170" width="11.85546875" style="1" customWidth="1"/>
    <col min="7171" max="7171" width="12" style="1" customWidth="1"/>
    <col min="7172" max="7172" width="13.85546875" style="1" customWidth="1"/>
    <col min="7173" max="7173" width="12.28515625" style="1" bestFit="1" customWidth="1"/>
    <col min="7174" max="7174" width="15.5703125" style="1" customWidth="1"/>
    <col min="7175" max="7175" width="11.5703125" style="1" customWidth="1"/>
    <col min="7176" max="7176" width="16.7109375" style="1" customWidth="1"/>
    <col min="7177" max="7424" width="9.140625" style="1"/>
    <col min="7425" max="7425" width="23" style="1" customWidth="1"/>
    <col min="7426" max="7426" width="11.85546875" style="1" customWidth="1"/>
    <col min="7427" max="7427" width="12" style="1" customWidth="1"/>
    <col min="7428" max="7428" width="13.85546875" style="1" customWidth="1"/>
    <col min="7429" max="7429" width="12.28515625" style="1" bestFit="1" customWidth="1"/>
    <col min="7430" max="7430" width="15.5703125" style="1" customWidth="1"/>
    <col min="7431" max="7431" width="11.5703125" style="1" customWidth="1"/>
    <col min="7432" max="7432" width="16.7109375" style="1" customWidth="1"/>
    <col min="7433" max="7680" width="9.140625" style="1"/>
    <col min="7681" max="7681" width="23" style="1" customWidth="1"/>
    <col min="7682" max="7682" width="11.85546875" style="1" customWidth="1"/>
    <col min="7683" max="7683" width="12" style="1" customWidth="1"/>
    <col min="7684" max="7684" width="13.85546875" style="1" customWidth="1"/>
    <col min="7685" max="7685" width="12.28515625" style="1" bestFit="1" customWidth="1"/>
    <col min="7686" max="7686" width="15.5703125" style="1" customWidth="1"/>
    <col min="7687" max="7687" width="11.5703125" style="1" customWidth="1"/>
    <col min="7688" max="7688" width="16.7109375" style="1" customWidth="1"/>
    <col min="7689" max="7936" width="9.140625" style="1"/>
    <col min="7937" max="7937" width="23" style="1" customWidth="1"/>
    <col min="7938" max="7938" width="11.85546875" style="1" customWidth="1"/>
    <col min="7939" max="7939" width="12" style="1" customWidth="1"/>
    <col min="7940" max="7940" width="13.85546875" style="1" customWidth="1"/>
    <col min="7941" max="7941" width="12.28515625" style="1" bestFit="1" customWidth="1"/>
    <col min="7942" max="7942" width="15.5703125" style="1" customWidth="1"/>
    <col min="7943" max="7943" width="11.5703125" style="1" customWidth="1"/>
    <col min="7944" max="7944" width="16.7109375" style="1" customWidth="1"/>
    <col min="7945" max="8192" width="9.140625" style="1"/>
    <col min="8193" max="8193" width="23" style="1" customWidth="1"/>
    <col min="8194" max="8194" width="11.85546875" style="1" customWidth="1"/>
    <col min="8195" max="8195" width="12" style="1" customWidth="1"/>
    <col min="8196" max="8196" width="13.85546875" style="1" customWidth="1"/>
    <col min="8197" max="8197" width="12.28515625" style="1" bestFit="1" customWidth="1"/>
    <col min="8198" max="8198" width="15.5703125" style="1" customWidth="1"/>
    <col min="8199" max="8199" width="11.5703125" style="1" customWidth="1"/>
    <col min="8200" max="8200" width="16.7109375" style="1" customWidth="1"/>
    <col min="8201" max="8448" width="9.140625" style="1"/>
    <col min="8449" max="8449" width="23" style="1" customWidth="1"/>
    <col min="8450" max="8450" width="11.85546875" style="1" customWidth="1"/>
    <col min="8451" max="8451" width="12" style="1" customWidth="1"/>
    <col min="8452" max="8452" width="13.85546875" style="1" customWidth="1"/>
    <col min="8453" max="8453" width="12.28515625" style="1" bestFit="1" customWidth="1"/>
    <col min="8454" max="8454" width="15.5703125" style="1" customWidth="1"/>
    <col min="8455" max="8455" width="11.5703125" style="1" customWidth="1"/>
    <col min="8456" max="8456" width="16.7109375" style="1" customWidth="1"/>
    <col min="8457" max="8704" width="9.140625" style="1"/>
    <col min="8705" max="8705" width="23" style="1" customWidth="1"/>
    <col min="8706" max="8706" width="11.85546875" style="1" customWidth="1"/>
    <col min="8707" max="8707" width="12" style="1" customWidth="1"/>
    <col min="8708" max="8708" width="13.85546875" style="1" customWidth="1"/>
    <col min="8709" max="8709" width="12.28515625" style="1" bestFit="1" customWidth="1"/>
    <col min="8710" max="8710" width="15.5703125" style="1" customWidth="1"/>
    <col min="8711" max="8711" width="11.5703125" style="1" customWidth="1"/>
    <col min="8712" max="8712" width="16.7109375" style="1" customWidth="1"/>
    <col min="8713" max="8960" width="9.140625" style="1"/>
    <col min="8961" max="8961" width="23" style="1" customWidth="1"/>
    <col min="8962" max="8962" width="11.85546875" style="1" customWidth="1"/>
    <col min="8963" max="8963" width="12" style="1" customWidth="1"/>
    <col min="8964" max="8964" width="13.85546875" style="1" customWidth="1"/>
    <col min="8965" max="8965" width="12.28515625" style="1" bestFit="1" customWidth="1"/>
    <col min="8966" max="8966" width="15.5703125" style="1" customWidth="1"/>
    <col min="8967" max="8967" width="11.5703125" style="1" customWidth="1"/>
    <col min="8968" max="8968" width="16.7109375" style="1" customWidth="1"/>
    <col min="8969" max="9216" width="9.140625" style="1"/>
    <col min="9217" max="9217" width="23" style="1" customWidth="1"/>
    <col min="9218" max="9218" width="11.85546875" style="1" customWidth="1"/>
    <col min="9219" max="9219" width="12" style="1" customWidth="1"/>
    <col min="9220" max="9220" width="13.85546875" style="1" customWidth="1"/>
    <col min="9221" max="9221" width="12.28515625" style="1" bestFit="1" customWidth="1"/>
    <col min="9222" max="9222" width="15.5703125" style="1" customWidth="1"/>
    <col min="9223" max="9223" width="11.5703125" style="1" customWidth="1"/>
    <col min="9224" max="9224" width="16.7109375" style="1" customWidth="1"/>
    <col min="9225" max="9472" width="9.140625" style="1"/>
    <col min="9473" max="9473" width="23" style="1" customWidth="1"/>
    <col min="9474" max="9474" width="11.85546875" style="1" customWidth="1"/>
    <col min="9475" max="9475" width="12" style="1" customWidth="1"/>
    <col min="9476" max="9476" width="13.85546875" style="1" customWidth="1"/>
    <col min="9477" max="9477" width="12.28515625" style="1" bestFit="1" customWidth="1"/>
    <col min="9478" max="9478" width="15.5703125" style="1" customWidth="1"/>
    <col min="9479" max="9479" width="11.5703125" style="1" customWidth="1"/>
    <col min="9480" max="9480" width="16.7109375" style="1" customWidth="1"/>
    <col min="9481" max="9728" width="9.140625" style="1"/>
    <col min="9729" max="9729" width="23" style="1" customWidth="1"/>
    <col min="9730" max="9730" width="11.85546875" style="1" customWidth="1"/>
    <col min="9731" max="9731" width="12" style="1" customWidth="1"/>
    <col min="9732" max="9732" width="13.85546875" style="1" customWidth="1"/>
    <col min="9733" max="9733" width="12.28515625" style="1" bestFit="1" customWidth="1"/>
    <col min="9734" max="9734" width="15.5703125" style="1" customWidth="1"/>
    <col min="9735" max="9735" width="11.5703125" style="1" customWidth="1"/>
    <col min="9736" max="9736" width="16.7109375" style="1" customWidth="1"/>
    <col min="9737" max="9984" width="9.140625" style="1"/>
    <col min="9985" max="9985" width="23" style="1" customWidth="1"/>
    <col min="9986" max="9986" width="11.85546875" style="1" customWidth="1"/>
    <col min="9987" max="9987" width="12" style="1" customWidth="1"/>
    <col min="9988" max="9988" width="13.85546875" style="1" customWidth="1"/>
    <col min="9989" max="9989" width="12.28515625" style="1" bestFit="1" customWidth="1"/>
    <col min="9990" max="9990" width="15.5703125" style="1" customWidth="1"/>
    <col min="9991" max="9991" width="11.5703125" style="1" customWidth="1"/>
    <col min="9992" max="9992" width="16.7109375" style="1" customWidth="1"/>
    <col min="9993" max="10240" width="9.140625" style="1"/>
    <col min="10241" max="10241" width="23" style="1" customWidth="1"/>
    <col min="10242" max="10242" width="11.85546875" style="1" customWidth="1"/>
    <col min="10243" max="10243" width="12" style="1" customWidth="1"/>
    <col min="10244" max="10244" width="13.85546875" style="1" customWidth="1"/>
    <col min="10245" max="10245" width="12.28515625" style="1" bestFit="1" customWidth="1"/>
    <col min="10246" max="10246" width="15.5703125" style="1" customWidth="1"/>
    <col min="10247" max="10247" width="11.5703125" style="1" customWidth="1"/>
    <col min="10248" max="10248" width="16.7109375" style="1" customWidth="1"/>
    <col min="10249" max="10496" width="9.140625" style="1"/>
    <col min="10497" max="10497" width="23" style="1" customWidth="1"/>
    <col min="10498" max="10498" width="11.85546875" style="1" customWidth="1"/>
    <col min="10499" max="10499" width="12" style="1" customWidth="1"/>
    <col min="10500" max="10500" width="13.85546875" style="1" customWidth="1"/>
    <col min="10501" max="10501" width="12.28515625" style="1" bestFit="1" customWidth="1"/>
    <col min="10502" max="10502" width="15.5703125" style="1" customWidth="1"/>
    <col min="10503" max="10503" width="11.5703125" style="1" customWidth="1"/>
    <col min="10504" max="10504" width="16.7109375" style="1" customWidth="1"/>
    <col min="10505" max="10752" width="9.140625" style="1"/>
    <col min="10753" max="10753" width="23" style="1" customWidth="1"/>
    <col min="10754" max="10754" width="11.85546875" style="1" customWidth="1"/>
    <col min="10755" max="10755" width="12" style="1" customWidth="1"/>
    <col min="10756" max="10756" width="13.85546875" style="1" customWidth="1"/>
    <col min="10757" max="10757" width="12.28515625" style="1" bestFit="1" customWidth="1"/>
    <col min="10758" max="10758" width="15.5703125" style="1" customWidth="1"/>
    <col min="10759" max="10759" width="11.5703125" style="1" customWidth="1"/>
    <col min="10760" max="10760" width="16.7109375" style="1" customWidth="1"/>
    <col min="10761" max="11008" width="9.140625" style="1"/>
    <col min="11009" max="11009" width="23" style="1" customWidth="1"/>
    <col min="11010" max="11010" width="11.85546875" style="1" customWidth="1"/>
    <col min="11011" max="11011" width="12" style="1" customWidth="1"/>
    <col min="11012" max="11012" width="13.85546875" style="1" customWidth="1"/>
    <col min="11013" max="11013" width="12.28515625" style="1" bestFit="1" customWidth="1"/>
    <col min="11014" max="11014" width="15.5703125" style="1" customWidth="1"/>
    <col min="11015" max="11015" width="11.5703125" style="1" customWidth="1"/>
    <col min="11016" max="11016" width="16.7109375" style="1" customWidth="1"/>
    <col min="11017" max="11264" width="9.140625" style="1"/>
    <col min="11265" max="11265" width="23" style="1" customWidth="1"/>
    <col min="11266" max="11266" width="11.85546875" style="1" customWidth="1"/>
    <col min="11267" max="11267" width="12" style="1" customWidth="1"/>
    <col min="11268" max="11268" width="13.85546875" style="1" customWidth="1"/>
    <col min="11269" max="11269" width="12.28515625" style="1" bestFit="1" customWidth="1"/>
    <col min="11270" max="11270" width="15.5703125" style="1" customWidth="1"/>
    <col min="11271" max="11271" width="11.5703125" style="1" customWidth="1"/>
    <col min="11272" max="11272" width="16.7109375" style="1" customWidth="1"/>
    <col min="11273" max="11520" width="9.140625" style="1"/>
    <col min="11521" max="11521" width="23" style="1" customWidth="1"/>
    <col min="11522" max="11522" width="11.85546875" style="1" customWidth="1"/>
    <col min="11523" max="11523" width="12" style="1" customWidth="1"/>
    <col min="11524" max="11524" width="13.85546875" style="1" customWidth="1"/>
    <col min="11525" max="11525" width="12.28515625" style="1" bestFit="1" customWidth="1"/>
    <col min="11526" max="11526" width="15.5703125" style="1" customWidth="1"/>
    <col min="11527" max="11527" width="11.5703125" style="1" customWidth="1"/>
    <col min="11528" max="11528" width="16.7109375" style="1" customWidth="1"/>
    <col min="11529" max="11776" width="9.140625" style="1"/>
    <col min="11777" max="11777" width="23" style="1" customWidth="1"/>
    <col min="11778" max="11778" width="11.85546875" style="1" customWidth="1"/>
    <col min="11779" max="11779" width="12" style="1" customWidth="1"/>
    <col min="11780" max="11780" width="13.85546875" style="1" customWidth="1"/>
    <col min="11781" max="11781" width="12.28515625" style="1" bestFit="1" customWidth="1"/>
    <col min="11782" max="11782" width="15.5703125" style="1" customWidth="1"/>
    <col min="11783" max="11783" width="11.5703125" style="1" customWidth="1"/>
    <col min="11784" max="11784" width="16.7109375" style="1" customWidth="1"/>
    <col min="11785" max="12032" width="9.140625" style="1"/>
    <col min="12033" max="12033" width="23" style="1" customWidth="1"/>
    <col min="12034" max="12034" width="11.85546875" style="1" customWidth="1"/>
    <col min="12035" max="12035" width="12" style="1" customWidth="1"/>
    <col min="12036" max="12036" width="13.85546875" style="1" customWidth="1"/>
    <col min="12037" max="12037" width="12.28515625" style="1" bestFit="1" customWidth="1"/>
    <col min="12038" max="12038" width="15.5703125" style="1" customWidth="1"/>
    <col min="12039" max="12039" width="11.5703125" style="1" customWidth="1"/>
    <col min="12040" max="12040" width="16.7109375" style="1" customWidth="1"/>
    <col min="12041" max="12288" width="9.140625" style="1"/>
    <col min="12289" max="12289" width="23" style="1" customWidth="1"/>
    <col min="12290" max="12290" width="11.85546875" style="1" customWidth="1"/>
    <col min="12291" max="12291" width="12" style="1" customWidth="1"/>
    <col min="12292" max="12292" width="13.85546875" style="1" customWidth="1"/>
    <col min="12293" max="12293" width="12.28515625" style="1" bestFit="1" customWidth="1"/>
    <col min="12294" max="12294" width="15.5703125" style="1" customWidth="1"/>
    <col min="12295" max="12295" width="11.5703125" style="1" customWidth="1"/>
    <col min="12296" max="12296" width="16.7109375" style="1" customWidth="1"/>
    <col min="12297" max="12544" width="9.140625" style="1"/>
    <col min="12545" max="12545" width="23" style="1" customWidth="1"/>
    <col min="12546" max="12546" width="11.85546875" style="1" customWidth="1"/>
    <col min="12547" max="12547" width="12" style="1" customWidth="1"/>
    <col min="12548" max="12548" width="13.85546875" style="1" customWidth="1"/>
    <col min="12549" max="12549" width="12.28515625" style="1" bestFit="1" customWidth="1"/>
    <col min="12550" max="12550" width="15.5703125" style="1" customWidth="1"/>
    <col min="12551" max="12551" width="11.5703125" style="1" customWidth="1"/>
    <col min="12552" max="12552" width="16.7109375" style="1" customWidth="1"/>
    <col min="12553" max="12800" width="9.140625" style="1"/>
    <col min="12801" max="12801" width="23" style="1" customWidth="1"/>
    <col min="12802" max="12802" width="11.85546875" style="1" customWidth="1"/>
    <col min="12803" max="12803" width="12" style="1" customWidth="1"/>
    <col min="12804" max="12804" width="13.85546875" style="1" customWidth="1"/>
    <col min="12805" max="12805" width="12.28515625" style="1" bestFit="1" customWidth="1"/>
    <col min="12806" max="12806" width="15.5703125" style="1" customWidth="1"/>
    <col min="12807" max="12807" width="11.5703125" style="1" customWidth="1"/>
    <col min="12808" max="12808" width="16.7109375" style="1" customWidth="1"/>
    <col min="12809" max="13056" width="9.140625" style="1"/>
    <col min="13057" max="13057" width="23" style="1" customWidth="1"/>
    <col min="13058" max="13058" width="11.85546875" style="1" customWidth="1"/>
    <col min="13059" max="13059" width="12" style="1" customWidth="1"/>
    <col min="13060" max="13060" width="13.85546875" style="1" customWidth="1"/>
    <col min="13061" max="13061" width="12.28515625" style="1" bestFit="1" customWidth="1"/>
    <col min="13062" max="13062" width="15.5703125" style="1" customWidth="1"/>
    <col min="13063" max="13063" width="11.5703125" style="1" customWidth="1"/>
    <col min="13064" max="13064" width="16.7109375" style="1" customWidth="1"/>
    <col min="13065" max="13312" width="9.140625" style="1"/>
    <col min="13313" max="13313" width="23" style="1" customWidth="1"/>
    <col min="13314" max="13314" width="11.85546875" style="1" customWidth="1"/>
    <col min="13315" max="13315" width="12" style="1" customWidth="1"/>
    <col min="13316" max="13316" width="13.85546875" style="1" customWidth="1"/>
    <col min="13317" max="13317" width="12.28515625" style="1" bestFit="1" customWidth="1"/>
    <col min="13318" max="13318" width="15.5703125" style="1" customWidth="1"/>
    <col min="13319" max="13319" width="11.5703125" style="1" customWidth="1"/>
    <col min="13320" max="13320" width="16.7109375" style="1" customWidth="1"/>
    <col min="13321" max="13568" width="9.140625" style="1"/>
    <col min="13569" max="13569" width="23" style="1" customWidth="1"/>
    <col min="13570" max="13570" width="11.85546875" style="1" customWidth="1"/>
    <col min="13571" max="13571" width="12" style="1" customWidth="1"/>
    <col min="13572" max="13572" width="13.85546875" style="1" customWidth="1"/>
    <col min="13573" max="13573" width="12.28515625" style="1" bestFit="1" customWidth="1"/>
    <col min="13574" max="13574" width="15.5703125" style="1" customWidth="1"/>
    <col min="13575" max="13575" width="11.5703125" style="1" customWidth="1"/>
    <col min="13576" max="13576" width="16.7109375" style="1" customWidth="1"/>
    <col min="13577" max="13824" width="9.140625" style="1"/>
    <col min="13825" max="13825" width="23" style="1" customWidth="1"/>
    <col min="13826" max="13826" width="11.85546875" style="1" customWidth="1"/>
    <col min="13827" max="13827" width="12" style="1" customWidth="1"/>
    <col min="13828" max="13828" width="13.85546875" style="1" customWidth="1"/>
    <col min="13829" max="13829" width="12.28515625" style="1" bestFit="1" customWidth="1"/>
    <col min="13830" max="13830" width="15.5703125" style="1" customWidth="1"/>
    <col min="13831" max="13831" width="11.5703125" style="1" customWidth="1"/>
    <col min="13832" max="13832" width="16.7109375" style="1" customWidth="1"/>
    <col min="13833" max="14080" width="9.140625" style="1"/>
    <col min="14081" max="14081" width="23" style="1" customWidth="1"/>
    <col min="14082" max="14082" width="11.85546875" style="1" customWidth="1"/>
    <col min="14083" max="14083" width="12" style="1" customWidth="1"/>
    <col min="14084" max="14084" width="13.85546875" style="1" customWidth="1"/>
    <col min="14085" max="14085" width="12.28515625" style="1" bestFit="1" customWidth="1"/>
    <col min="14086" max="14086" width="15.5703125" style="1" customWidth="1"/>
    <col min="14087" max="14087" width="11.5703125" style="1" customWidth="1"/>
    <col min="14088" max="14088" width="16.7109375" style="1" customWidth="1"/>
    <col min="14089" max="14336" width="9.140625" style="1"/>
    <col min="14337" max="14337" width="23" style="1" customWidth="1"/>
    <col min="14338" max="14338" width="11.85546875" style="1" customWidth="1"/>
    <col min="14339" max="14339" width="12" style="1" customWidth="1"/>
    <col min="14340" max="14340" width="13.85546875" style="1" customWidth="1"/>
    <col min="14341" max="14341" width="12.28515625" style="1" bestFit="1" customWidth="1"/>
    <col min="14342" max="14342" width="15.5703125" style="1" customWidth="1"/>
    <col min="14343" max="14343" width="11.5703125" style="1" customWidth="1"/>
    <col min="14344" max="14344" width="16.7109375" style="1" customWidth="1"/>
    <col min="14345" max="14592" width="9.140625" style="1"/>
    <col min="14593" max="14593" width="23" style="1" customWidth="1"/>
    <col min="14594" max="14594" width="11.85546875" style="1" customWidth="1"/>
    <col min="14595" max="14595" width="12" style="1" customWidth="1"/>
    <col min="14596" max="14596" width="13.85546875" style="1" customWidth="1"/>
    <col min="14597" max="14597" width="12.28515625" style="1" bestFit="1" customWidth="1"/>
    <col min="14598" max="14598" width="15.5703125" style="1" customWidth="1"/>
    <col min="14599" max="14599" width="11.5703125" style="1" customWidth="1"/>
    <col min="14600" max="14600" width="16.7109375" style="1" customWidth="1"/>
    <col min="14601" max="14848" width="9.140625" style="1"/>
    <col min="14849" max="14849" width="23" style="1" customWidth="1"/>
    <col min="14850" max="14850" width="11.85546875" style="1" customWidth="1"/>
    <col min="14851" max="14851" width="12" style="1" customWidth="1"/>
    <col min="14852" max="14852" width="13.85546875" style="1" customWidth="1"/>
    <col min="14853" max="14853" width="12.28515625" style="1" bestFit="1" customWidth="1"/>
    <col min="14854" max="14854" width="15.5703125" style="1" customWidth="1"/>
    <col min="14855" max="14855" width="11.5703125" style="1" customWidth="1"/>
    <col min="14856" max="14856" width="16.7109375" style="1" customWidth="1"/>
    <col min="14857" max="15104" width="9.140625" style="1"/>
    <col min="15105" max="15105" width="23" style="1" customWidth="1"/>
    <col min="15106" max="15106" width="11.85546875" style="1" customWidth="1"/>
    <col min="15107" max="15107" width="12" style="1" customWidth="1"/>
    <col min="15108" max="15108" width="13.85546875" style="1" customWidth="1"/>
    <col min="15109" max="15109" width="12.28515625" style="1" bestFit="1" customWidth="1"/>
    <col min="15110" max="15110" width="15.5703125" style="1" customWidth="1"/>
    <col min="15111" max="15111" width="11.5703125" style="1" customWidth="1"/>
    <col min="15112" max="15112" width="16.7109375" style="1" customWidth="1"/>
    <col min="15113" max="15360" width="9.140625" style="1"/>
    <col min="15361" max="15361" width="23" style="1" customWidth="1"/>
    <col min="15362" max="15362" width="11.85546875" style="1" customWidth="1"/>
    <col min="15363" max="15363" width="12" style="1" customWidth="1"/>
    <col min="15364" max="15364" width="13.85546875" style="1" customWidth="1"/>
    <col min="15365" max="15365" width="12.28515625" style="1" bestFit="1" customWidth="1"/>
    <col min="15366" max="15366" width="15.5703125" style="1" customWidth="1"/>
    <col min="15367" max="15367" width="11.5703125" style="1" customWidth="1"/>
    <col min="15368" max="15368" width="16.7109375" style="1" customWidth="1"/>
    <col min="15369" max="15616" width="9.140625" style="1"/>
    <col min="15617" max="15617" width="23" style="1" customWidth="1"/>
    <col min="15618" max="15618" width="11.85546875" style="1" customWidth="1"/>
    <col min="15619" max="15619" width="12" style="1" customWidth="1"/>
    <col min="15620" max="15620" width="13.85546875" style="1" customWidth="1"/>
    <col min="15621" max="15621" width="12.28515625" style="1" bestFit="1" customWidth="1"/>
    <col min="15622" max="15622" width="15.5703125" style="1" customWidth="1"/>
    <col min="15623" max="15623" width="11.5703125" style="1" customWidth="1"/>
    <col min="15624" max="15624" width="16.7109375" style="1" customWidth="1"/>
    <col min="15625" max="15872" width="9.140625" style="1"/>
    <col min="15873" max="15873" width="23" style="1" customWidth="1"/>
    <col min="15874" max="15874" width="11.85546875" style="1" customWidth="1"/>
    <col min="15875" max="15875" width="12" style="1" customWidth="1"/>
    <col min="15876" max="15876" width="13.85546875" style="1" customWidth="1"/>
    <col min="15877" max="15877" width="12.28515625" style="1" bestFit="1" customWidth="1"/>
    <col min="15878" max="15878" width="15.5703125" style="1" customWidth="1"/>
    <col min="15879" max="15879" width="11.5703125" style="1" customWidth="1"/>
    <col min="15880" max="15880" width="16.7109375" style="1" customWidth="1"/>
    <col min="15881" max="16128" width="9.140625" style="1"/>
    <col min="16129" max="16129" width="23" style="1" customWidth="1"/>
    <col min="16130" max="16130" width="11.85546875" style="1" customWidth="1"/>
    <col min="16131" max="16131" width="12" style="1" customWidth="1"/>
    <col min="16132" max="16132" width="13.85546875" style="1" customWidth="1"/>
    <col min="16133" max="16133" width="12.28515625" style="1" bestFit="1" customWidth="1"/>
    <col min="16134" max="16134" width="15.5703125" style="1" customWidth="1"/>
    <col min="16135" max="16135" width="11.5703125" style="1" customWidth="1"/>
    <col min="16136" max="16136" width="16.7109375" style="1" customWidth="1"/>
    <col min="16137" max="16384" width="9.140625" style="1"/>
  </cols>
  <sheetData>
    <row r="1" spans="1:9" x14ac:dyDescent="0.2">
      <c r="A1" s="687" t="s">
        <v>234</v>
      </c>
      <c r="B1" s="688"/>
      <c r="C1" s="688"/>
      <c r="D1" s="688"/>
      <c r="E1" s="688"/>
      <c r="F1" s="688"/>
      <c r="G1" s="688"/>
      <c r="H1" s="688"/>
      <c r="I1" s="688"/>
    </row>
    <row r="2" spans="1:9" ht="39.6" customHeight="1" x14ac:dyDescent="0.2">
      <c r="A2" s="689"/>
      <c r="B2" s="689"/>
      <c r="C2" s="689"/>
      <c r="D2" s="689"/>
      <c r="E2" s="689"/>
      <c r="F2" s="689"/>
      <c r="G2" s="689"/>
      <c r="H2" s="689"/>
      <c r="I2" s="689"/>
    </row>
    <row r="3" spans="1:9" ht="10.5" customHeight="1" x14ac:dyDescent="0.2">
      <c r="A3" s="12"/>
      <c r="B3" s="13"/>
      <c r="C3" s="13"/>
      <c r="D3" s="13"/>
      <c r="E3" s="13"/>
      <c r="F3" s="13"/>
      <c r="G3" s="13"/>
      <c r="H3" s="13"/>
      <c r="I3" s="13"/>
    </row>
    <row r="4" spans="1:9" ht="9.9499999999999993" customHeight="1" x14ac:dyDescent="0.2">
      <c r="A4" s="14"/>
      <c r="B4" s="17"/>
      <c r="C4" s="17"/>
      <c r="D4" s="17"/>
      <c r="E4" s="17"/>
      <c r="F4" s="17"/>
      <c r="G4" s="17"/>
      <c r="H4" s="17"/>
      <c r="I4" s="17"/>
    </row>
    <row r="5" spans="1:9" ht="24.95" customHeight="1" x14ac:dyDescent="0.2">
      <c r="A5" s="15" t="s">
        <v>235</v>
      </c>
      <c r="B5" s="685"/>
      <c r="C5" s="686"/>
      <c r="D5" s="20" t="s">
        <v>236</v>
      </c>
      <c r="E5" s="690"/>
      <c r="F5" s="691"/>
      <c r="G5" s="20" t="s">
        <v>237</v>
      </c>
      <c r="H5" s="2"/>
      <c r="I5" s="19"/>
    </row>
    <row r="6" spans="1:9" ht="9.9499999999999993" customHeight="1" x14ac:dyDescent="0.2">
      <c r="A6" s="15"/>
      <c r="B6" s="15"/>
      <c r="C6" s="18"/>
      <c r="D6" s="18"/>
      <c r="E6" s="18"/>
      <c r="F6" s="18"/>
      <c r="G6" s="18"/>
      <c r="H6" s="18"/>
      <c r="I6" s="19"/>
    </row>
    <row r="7" spans="1:9" ht="24.95" customHeight="1" x14ac:dyDescent="0.2">
      <c r="A7" s="15" t="s">
        <v>238</v>
      </c>
      <c r="B7" s="690"/>
      <c r="C7" s="691"/>
      <c r="D7" s="691"/>
      <c r="E7" s="691"/>
      <c r="F7" s="691"/>
      <c r="G7" s="691"/>
      <c r="H7" s="691"/>
      <c r="I7" s="19"/>
    </row>
    <row r="8" spans="1:9" ht="9.9499999999999993" customHeight="1" x14ac:dyDescent="0.2">
      <c r="A8" s="15"/>
      <c r="B8" s="15"/>
      <c r="C8" s="18"/>
      <c r="D8" s="18"/>
      <c r="E8" s="18"/>
      <c r="F8" s="18"/>
      <c r="G8" s="18"/>
      <c r="H8" s="18"/>
      <c r="I8" s="19"/>
    </row>
    <row r="9" spans="1:9" ht="24.95" customHeight="1" x14ac:dyDescent="0.2">
      <c r="A9" s="15" t="s">
        <v>68</v>
      </c>
      <c r="B9" s="690"/>
      <c r="C9" s="691"/>
      <c r="D9" s="691"/>
      <c r="E9" s="691"/>
      <c r="F9" s="691"/>
      <c r="G9" s="691"/>
      <c r="H9" s="691"/>
      <c r="I9" s="19"/>
    </row>
    <row r="10" spans="1:9" ht="9.9499999999999993" customHeight="1" x14ac:dyDescent="0.2">
      <c r="A10" s="15"/>
      <c r="B10" s="15"/>
      <c r="C10" s="18"/>
      <c r="D10" s="18"/>
      <c r="E10" s="18"/>
      <c r="F10" s="18"/>
      <c r="G10" s="18"/>
      <c r="H10" s="18"/>
      <c r="I10" s="19"/>
    </row>
    <row r="11" spans="1:9" ht="24.95" customHeight="1" x14ac:dyDescent="0.2">
      <c r="A11" s="15" t="s">
        <v>107</v>
      </c>
      <c r="B11" s="685"/>
      <c r="C11" s="686"/>
      <c r="D11" s="3"/>
      <c r="E11" s="3"/>
      <c r="F11" s="3"/>
      <c r="G11" s="3"/>
      <c r="H11" s="3"/>
      <c r="I11" s="19"/>
    </row>
    <row r="12" spans="1:9" ht="9.9499999999999993" customHeight="1" x14ac:dyDescent="0.2">
      <c r="A12" s="16"/>
      <c r="B12" s="16"/>
      <c r="C12" s="19"/>
      <c r="D12" s="19"/>
      <c r="E12" s="19"/>
      <c r="F12" s="19"/>
      <c r="G12" s="19"/>
      <c r="H12" s="19"/>
      <c r="I12" s="19"/>
    </row>
    <row r="13" spans="1:9" x14ac:dyDescent="0.2">
      <c r="A13" s="4"/>
      <c r="B13" s="4"/>
      <c r="C13" s="4"/>
      <c r="D13" s="4"/>
      <c r="E13" s="4"/>
      <c r="F13" s="4"/>
      <c r="G13" s="4"/>
      <c r="H13" s="4"/>
      <c r="I13" s="4"/>
    </row>
    <row r="14" spans="1:9" s="5" customFormat="1" ht="24.95" customHeight="1" x14ac:dyDescent="0.25">
      <c r="A14" s="671" t="s">
        <v>239</v>
      </c>
      <c r="B14" s="672"/>
      <c r="C14" s="672"/>
      <c r="D14" s="672"/>
      <c r="E14" s="672"/>
      <c r="F14" s="672"/>
      <c r="G14" s="672"/>
      <c r="H14" s="672"/>
      <c r="I14" s="678"/>
    </row>
    <row r="15" spans="1:9" ht="9.9499999999999993" customHeight="1" x14ac:dyDescent="0.2">
      <c r="A15" s="21"/>
      <c r="B15" s="17"/>
      <c r="C15" s="17"/>
      <c r="D15" s="17"/>
      <c r="E15" s="17"/>
      <c r="F15" s="17"/>
      <c r="G15" s="17"/>
      <c r="H15" s="17"/>
      <c r="I15" s="17"/>
    </row>
    <row r="16" spans="1:9" x14ac:dyDescent="0.2">
      <c r="A16" s="22" t="s">
        <v>240</v>
      </c>
      <c r="B16" s="679"/>
      <c r="C16" s="680"/>
      <c r="D16" s="680"/>
      <c r="E16" s="680"/>
      <c r="F16" s="680"/>
      <c r="G16" s="680"/>
      <c r="H16" s="680"/>
      <c r="I16" s="19"/>
    </row>
    <row r="17" spans="1:9" x14ac:dyDescent="0.2">
      <c r="A17" s="21"/>
      <c r="B17" s="17"/>
      <c r="C17" s="17"/>
      <c r="D17" s="17"/>
      <c r="E17" s="17"/>
      <c r="F17" s="17"/>
      <c r="G17" s="17"/>
      <c r="H17" s="17"/>
      <c r="I17" s="17"/>
    </row>
    <row r="18" spans="1:9" ht="24.95" customHeight="1" x14ac:dyDescent="0.2">
      <c r="A18" s="21" t="s">
        <v>241</v>
      </c>
      <c r="B18" s="681"/>
      <c r="C18" s="681"/>
      <c r="D18" s="681"/>
      <c r="E18" s="681"/>
      <c r="F18" s="681"/>
      <c r="G18" s="681"/>
      <c r="H18" s="681"/>
      <c r="I18" s="17"/>
    </row>
    <row r="19" spans="1:9" ht="9.9499999999999993" customHeight="1" x14ac:dyDescent="0.2">
      <c r="A19" s="21"/>
      <c r="B19" s="23"/>
      <c r="C19" s="23"/>
      <c r="D19" s="23"/>
      <c r="E19" s="23"/>
      <c r="F19" s="23"/>
      <c r="G19" s="23"/>
      <c r="H19" s="23"/>
      <c r="I19" s="17"/>
    </row>
    <row r="20" spans="1:9" ht="24.95" customHeight="1" x14ac:dyDescent="0.2">
      <c r="A20" s="24" t="s">
        <v>242</v>
      </c>
      <c r="B20" s="681"/>
      <c r="C20" s="681"/>
      <c r="D20" s="681"/>
      <c r="E20" s="681"/>
      <c r="F20" s="17"/>
      <c r="G20" s="25"/>
      <c r="H20" s="17"/>
      <c r="I20" s="17"/>
    </row>
    <row r="21" spans="1:9" ht="9.9499999999999993" customHeight="1" x14ac:dyDescent="0.2">
      <c r="A21" s="21"/>
      <c r="B21" s="17"/>
      <c r="C21" s="17"/>
      <c r="D21" s="17"/>
      <c r="E21" s="17"/>
      <c r="F21" s="17"/>
      <c r="G21" s="17"/>
      <c r="H21" s="17"/>
      <c r="I21" s="17"/>
    </row>
    <row r="22" spans="1:9" ht="24.95" customHeight="1" x14ac:dyDescent="0.2">
      <c r="A22" s="24" t="s">
        <v>243</v>
      </c>
      <c r="B22" s="681"/>
      <c r="C22" s="681"/>
      <c r="D22" s="681"/>
      <c r="E22" s="681"/>
      <c r="F22" s="17"/>
      <c r="G22" s="25"/>
      <c r="H22" s="17"/>
      <c r="I22" s="17"/>
    </row>
    <row r="23" spans="1:9" ht="9.9499999999999993" customHeight="1" x14ac:dyDescent="0.2">
      <c r="A23" s="21"/>
      <c r="B23" s="17"/>
      <c r="C23" s="17"/>
      <c r="D23" s="17"/>
      <c r="E23" s="17"/>
      <c r="F23" s="17"/>
      <c r="G23" s="17"/>
      <c r="H23" s="17"/>
      <c r="I23" s="17"/>
    </row>
    <row r="24" spans="1:9" x14ac:dyDescent="0.2">
      <c r="A24" s="21" t="s">
        <v>244</v>
      </c>
      <c r="B24" s="674"/>
      <c r="C24" s="674"/>
      <c r="D24" s="674"/>
      <c r="E24" s="674"/>
      <c r="F24" s="674"/>
      <c r="G24" s="674"/>
      <c r="H24" s="674"/>
      <c r="I24" s="17"/>
    </row>
    <row r="25" spans="1:9" ht="24.95" customHeight="1" x14ac:dyDescent="0.2">
      <c r="A25" s="26"/>
      <c r="B25" s="674"/>
      <c r="C25" s="674"/>
      <c r="D25" s="674"/>
      <c r="E25" s="674"/>
      <c r="F25" s="674"/>
      <c r="G25" s="674"/>
      <c r="H25" s="674"/>
      <c r="I25" s="17"/>
    </row>
    <row r="26" spans="1:9" ht="24.95" customHeight="1" x14ac:dyDescent="0.2">
      <c r="A26" s="26"/>
      <c r="B26" s="674"/>
      <c r="C26" s="674"/>
      <c r="D26" s="674"/>
      <c r="E26" s="674"/>
      <c r="F26" s="674"/>
      <c r="G26" s="674"/>
      <c r="H26" s="674"/>
      <c r="I26" s="17"/>
    </row>
    <row r="27" spans="1:9" ht="24.95" customHeight="1" x14ac:dyDescent="0.2">
      <c r="A27" s="26"/>
      <c r="B27" s="674"/>
      <c r="C27" s="674"/>
      <c r="D27" s="674"/>
      <c r="E27" s="674"/>
      <c r="F27" s="674"/>
      <c r="G27" s="674"/>
      <c r="H27" s="674"/>
      <c r="I27" s="17"/>
    </row>
    <row r="28" spans="1:9" ht="9.9499999999999993" customHeight="1" x14ac:dyDescent="0.2">
      <c r="A28" s="26"/>
      <c r="B28" s="17"/>
      <c r="C28" s="17"/>
      <c r="D28" s="17"/>
      <c r="E28" s="17"/>
      <c r="F28" s="17"/>
      <c r="G28" s="17"/>
      <c r="H28" s="17"/>
      <c r="I28" s="17"/>
    </row>
    <row r="29" spans="1:9" s="7" customFormat="1" ht="9.9499999999999993" customHeight="1" x14ac:dyDescent="0.2">
      <c r="A29" s="6"/>
    </row>
    <row r="30" spans="1:9" ht="24.95" customHeight="1" x14ac:dyDescent="0.2">
      <c r="A30" s="671" t="s">
        <v>245</v>
      </c>
      <c r="B30" s="672"/>
      <c r="C30" s="672"/>
      <c r="D30" s="672"/>
      <c r="E30" s="672"/>
      <c r="F30" s="672"/>
      <c r="G30" s="672"/>
      <c r="H30" s="672"/>
      <c r="I30" s="678"/>
    </row>
    <row r="31" spans="1:9" ht="9.9499999999999993" customHeight="1" x14ac:dyDescent="0.2">
      <c r="A31" s="110"/>
      <c r="B31" s="11"/>
      <c r="C31" s="11"/>
      <c r="D31" s="11"/>
      <c r="E31" s="11"/>
      <c r="F31" s="11"/>
      <c r="G31" s="11"/>
      <c r="H31" s="11"/>
      <c r="I31" s="11"/>
    </row>
    <row r="32" spans="1:9" ht="24.95" customHeight="1" x14ac:dyDescent="0.2">
      <c r="A32" s="110" t="s">
        <v>246</v>
      </c>
      <c r="B32" s="674"/>
      <c r="C32" s="674"/>
      <c r="D32" s="674"/>
      <c r="E32" s="674"/>
      <c r="F32" s="674"/>
      <c r="G32" s="674"/>
      <c r="H32" s="674"/>
      <c r="I32" s="11"/>
    </row>
    <row r="33" spans="1:9" ht="24.95" customHeight="1" x14ac:dyDescent="0.2">
      <c r="A33" s="27" t="s">
        <v>247</v>
      </c>
      <c r="B33" s="674"/>
      <c r="C33" s="674"/>
      <c r="D33" s="674"/>
      <c r="E33" s="674"/>
      <c r="F33" s="674"/>
      <c r="G33" s="674"/>
      <c r="H33" s="674"/>
      <c r="I33" s="11"/>
    </row>
    <row r="34" spans="1:9" ht="24.95" customHeight="1" x14ac:dyDescent="0.2">
      <c r="A34" s="112"/>
      <c r="B34" s="674"/>
      <c r="C34" s="674"/>
      <c r="D34" s="674"/>
      <c r="E34" s="674"/>
      <c r="F34" s="674"/>
      <c r="G34" s="674"/>
      <c r="H34" s="674"/>
      <c r="I34" s="11"/>
    </row>
    <row r="35" spans="1:9" ht="9.9499999999999993" customHeight="1" x14ac:dyDescent="0.2">
      <c r="A35" s="110"/>
      <c r="B35" s="11"/>
      <c r="C35" s="11"/>
      <c r="D35" s="11"/>
      <c r="E35" s="11"/>
      <c r="F35" s="11"/>
      <c r="G35" s="11"/>
      <c r="H35" s="11"/>
      <c r="I35" s="11"/>
    </row>
    <row r="36" spans="1:9" ht="25.5" customHeight="1" x14ac:dyDescent="0.2">
      <c r="A36" s="675" t="s">
        <v>248</v>
      </c>
      <c r="B36" s="682"/>
      <c r="C36" s="30"/>
      <c r="D36" s="111"/>
      <c r="E36" s="11"/>
      <c r="F36" s="11"/>
      <c r="G36" s="11"/>
      <c r="H36" s="11"/>
      <c r="I36" s="11"/>
    </row>
    <row r="37" spans="1:9" ht="25.5" customHeight="1" x14ac:dyDescent="0.2">
      <c r="A37" s="683" t="s">
        <v>249</v>
      </c>
      <c r="B37" s="684"/>
      <c r="C37" s="684"/>
      <c r="D37" s="11"/>
      <c r="E37" s="11"/>
      <c r="F37" s="11"/>
      <c r="G37" s="11"/>
      <c r="H37" s="11"/>
      <c r="I37" s="11"/>
    </row>
    <row r="38" spans="1:9" ht="24.95" customHeight="1" x14ac:dyDescent="0.2">
      <c r="A38" s="28" t="s">
        <v>250</v>
      </c>
      <c r="B38" s="109"/>
      <c r="C38" s="29" t="s">
        <v>251</v>
      </c>
      <c r="D38" s="109"/>
      <c r="E38" s="29" t="s">
        <v>252</v>
      </c>
      <c r="F38" s="109"/>
      <c r="G38" s="29" t="s">
        <v>253</v>
      </c>
      <c r="H38" s="109"/>
      <c r="I38" s="11"/>
    </row>
    <row r="39" spans="1:9" ht="9.9499999999999993" customHeight="1" x14ac:dyDescent="0.2">
      <c r="A39" s="110"/>
      <c r="B39" s="113"/>
      <c r="C39" s="113"/>
      <c r="D39" s="113"/>
      <c r="E39" s="113"/>
      <c r="F39" s="113"/>
      <c r="G39" s="113"/>
      <c r="H39" s="113"/>
      <c r="I39" s="11"/>
    </row>
    <row r="40" spans="1:9" s="7" customFormat="1" ht="9.9499999999999993" customHeight="1" x14ac:dyDescent="0.2">
      <c r="A40" s="8"/>
      <c r="B40" s="108"/>
      <c r="C40" s="108"/>
      <c r="D40" s="108"/>
      <c r="E40" s="108"/>
      <c r="F40" s="108"/>
      <c r="G40" s="108"/>
      <c r="H40" s="108"/>
    </row>
    <row r="41" spans="1:9" ht="24.95" customHeight="1" x14ac:dyDescent="0.2">
      <c r="A41" s="671" t="s">
        <v>254</v>
      </c>
      <c r="B41" s="672"/>
      <c r="C41" s="672"/>
      <c r="D41" s="672"/>
      <c r="E41" s="672"/>
      <c r="F41" s="672"/>
      <c r="G41" s="672"/>
      <c r="H41" s="672"/>
      <c r="I41" s="678"/>
    </row>
    <row r="42" spans="1:9" ht="9.9499999999999993" customHeight="1" x14ac:dyDescent="0.2">
      <c r="A42" s="110"/>
      <c r="B42" s="113"/>
      <c r="C42" s="113"/>
      <c r="D42" s="113"/>
      <c r="E42" s="113"/>
      <c r="F42" s="113"/>
      <c r="G42" s="113"/>
      <c r="H42" s="113"/>
      <c r="I42" s="11"/>
    </row>
    <row r="43" spans="1:9" x14ac:dyDescent="0.2">
      <c r="A43" s="110" t="s">
        <v>255</v>
      </c>
      <c r="B43" s="113"/>
      <c r="C43" s="113"/>
      <c r="D43" s="113"/>
      <c r="E43" s="31" t="s">
        <v>2</v>
      </c>
      <c r="F43" s="113"/>
      <c r="G43" s="113"/>
      <c r="H43" s="113"/>
      <c r="I43" s="11"/>
    </row>
    <row r="44" spans="1:9" ht="24.95" customHeight="1" x14ac:dyDescent="0.2">
      <c r="A44" s="110" t="s">
        <v>256</v>
      </c>
      <c r="B44" s="677"/>
      <c r="C44" s="677"/>
      <c r="D44" s="677"/>
      <c r="E44" s="31" t="s">
        <v>257</v>
      </c>
      <c r="F44" s="677"/>
      <c r="G44" s="677"/>
      <c r="H44" s="677"/>
      <c r="I44" s="11"/>
    </row>
    <row r="45" spans="1:9" ht="9.9499999999999993" customHeight="1" x14ac:dyDescent="0.2">
      <c r="A45" s="110"/>
      <c r="B45" s="113"/>
      <c r="C45" s="113"/>
      <c r="D45" s="113"/>
      <c r="E45" s="31"/>
      <c r="F45" s="113"/>
      <c r="G45" s="113"/>
      <c r="H45" s="113"/>
      <c r="I45" s="11"/>
    </row>
    <row r="46" spans="1:9" ht="9.9499999999999993" customHeight="1" x14ac:dyDescent="0.2">
      <c r="A46" s="8"/>
      <c r="B46" s="108"/>
      <c r="C46" s="108"/>
      <c r="D46" s="108"/>
      <c r="E46" s="108"/>
      <c r="F46" s="108"/>
      <c r="G46" s="108"/>
      <c r="H46" s="108"/>
      <c r="I46" s="7"/>
    </row>
    <row r="47" spans="1:9" ht="24.95" customHeight="1" x14ac:dyDescent="0.2">
      <c r="A47" s="671" t="s">
        <v>258</v>
      </c>
      <c r="B47" s="672"/>
      <c r="C47" s="672"/>
      <c r="D47" s="672"/>
      <c r="E47" s="672"/>
      <c r="F47" s="672"/>
      <c r="G47" s="672"/>
      <c r="H47" s="672"/>
      <c r="I47" s="673"/>
    </row>
    <row r="48" spans="1:9" ht="9.9499999999999993" customHeight="1" x14ac:dyDescent="0.2">
      <c r="A48" s="110"/>
      <c r="B48" s="113"/>
      <c r="C48" s="113"/>
      <c r="D48" s="113"/>
      <c r="E48" s="113"/>
      <c r="F48" s="113"/>
      <c r="G48" s="113"/>
      <c r="H48" s="113"/>
      <c r="I48" s="11"/>
    </row>
    <row r="49" spans="1:9" ht="24.95" customHeight="1" x14ac:dyDescent="0.2">
      <c r="A49" s="110" t="s">
        <v>259</v>
      </c>
      <c r="B49" s="674"/>
      <c r="C49" s="674"/>
      <c r="D49" s="674"/>
      <c r="E49" s="674"/>
      <c r="F49" s="674"/>
      <c r="G49" s="674"/>
      <c r="H49" s="674"/>
      <c r="I49" s="11"/>
    </row>
    <row r="50" spans="1:9" ht="24.95" customHeight="1" x14ac:dyDescent="0.2">
      <c r="A50" s="111"/>
      <c r="B50" s="674"/>
      <c r="C50" s="674"/>
      <c r="D50" s="674"/>
      <c r="E50" s="674"/>
      <c r="F50" s="674"/>
      <c r="G50" s="674"/>
      <c r="H50" s="674"/>
      <c r="I50" s="11"/>
    </row>
    <row r="51" spans="1:9" ht="24.95" customHeight="1" x14ac:dyDescent="0.2">
      <c r="A51" s="111"/>
      <c r="B51" s="674"/>
      <c r="C51" s="674"/>
      <c r="D51" s="674"/>
      <c r="E51" s="674"/>
      <c r="F51" s="674"/>
      <c r="G51" s="674"/>
      <c r="H51" s="674"/>
      <c r="I51" s="11"/>
    </row>
    <row r="52" spans="1:9" x14ac:dyDescent="0.2">
      <c r="A52" s="111"/>
      <c r="B52" s="113"/>
      <c r="C52" s="113"/>
      <c r="D52" s="113"/>
      <c r="E52" s="113"/>
      <c r="F52" s="113"/>
      <c r="G52" s="113"/>
      <c r="H52" s="113"/>
      <c r="I52" s="11"/>
    </row>
    <row r="53" spans="1:9" ht="24.95" customHeight="1" x14ac:dyDescent="0.2">
      <c r="A53" s="675" t="s">
        <v>260</v>
      </c>
      <c r="B53" s="676"/>
      <c r="C53" s="676"/>
      <c r="D53" s="676"/>
      <c r="E53" s="109"/>
      <c r="F53" s="113"/>
      <c r="G53" s="113"/>
      <c r="H53" s="113"/>
      <c r="I53" s="11"/>
    </row>
    <row r="54" spans="1:9" ht="9.9499999999999993" customHeight="1" x14ac:dyDescent="0.2">
      <c r="A54" s="110"/>
      <c r="B54" s="113"/>
      <c r="C54" s="113"/>
      <c r="D54" s="113"/>
      <c r="E54" s="113"/>
      <c r="F54" s="113"/>
      <c r="G54" s="113"/>
      <c r="H54" s="113"/>
      <c r="I54" s="11"/>
    </row>
    <row r="55" spans="1:9" ht="24.95" customHeight="1" x14ac:dyDescent="0.2">
      <c r="A55" s="110" t="s">
        <v>261</v>
      </c>
      <c r="B55" s="677"/>
      <c r="C55" s="677"/>
      <c r="D55" s="677"/>
      <c r="E55" s="677"/>
      <c r="F55" s="677"/>
      <c r="G55" s="677"/>
      <c r="H55" s="677"/>
      <c r="I55" s="11"/>
    </row>
    <row r="56" spans="1:9" ht="9.9499999999999993" customHeight="1" x14ac:dyDescent="0.2">
      <c r="A56" s="110"/>
      <c r="B56" s="113"/>
      <c r="C56" s="113"/>
      <c r="D56" s="113"/>
      <c r="E56" s="113"/>
      <c r="F56" s="113"/>
      <c r="G56" s="113"/>
      <c r="H56" s="113"/>
      <c r="I56" s="11"/>
    </row>
    <row r="57" spans="1:9" ht="24.95" customHeight="1" x14ac:dyDescent="0.2">
      <c r="A57" s="110" t="s">
        <v>262</v>
      </c>
      <c r="B57" s="677"/>
      <c r="C57" s="677"/>
      <c r="D57" s="677"/>
      <c r="E57" s="677"/>
      <c r="F57" s="677"/>
      <c r="G57" s="677"/>
      <c r="H57" s="677"/>
      <c r="I57" s="11"/>
    </row>
    <row r="58" spans="1:9" x14ac:dyDescent="0.2">
      <c r="A58" s="110"/>
      <c r="B58" s="113"/>
      <c r="C58" s="113"/>
      <c r="D58" s="113"/>
      <c r="E58" s="113"/>
      <c r="F58" s="113"/>
      <c r="G58" s="113"/>
      <c r="H58" s="113"/>
      <c r="I58" s="11"/>
    </row>
    <row r="59" spans="1:9" s="7" customFormat="1" x14ac:dyDescent="0.2">
      <c r="A59" s="9"/>
      <c r="B59" s="108"/>
      <c r="C59" s="108"/>
      <c r="D59" s="108"/>
      <c r="E59" s="108"/>
      <c r="F59" s="108"/>
      <c r="G59" s="108"/>
      <c r="H59" s="108"/>
    </row>
  </sheetData>
  <mergeCells count="24">
    <mergeCell ref="B11:C11"/>
    <mergeCell ref="A1:I2"/>
    <mergeCell ref="B5:C5"/>
    <mergeCell ref="E5:F5"/>
    <mergeCell ref="B7:H7"/>
    <mergeCell ref="B9:H9"/>
    <mergeCell ref="B44:D44"/>
    <mergeCell ref="F44:H44"/>
    <mergeCell ref="A14:I14"/>
    <mergeCell ref="B16:H16"/>
    <mergeCell ref="B18:H18"/>
    <mergeCell ref="B20:E20"/>
    <mergeCell ref="B22:E22"/>
    <mergeCell ref="B24:H27"/>
    <mergeCell ref="A30:I30"/>
    <mergeCell ref="B32:H34"/>
    <mergeCell ref="A36:B36"/>
    <mergeCell ref="A37:C37"/>
    <mergeCell ref="A41:I41"/>
    <mergeCell ref="A47:I47"/>
    <mergeCell ref="B49:H51"/>
    <mergeCell ref="A53:D53"/>
    <mergeCell ref="B55:H55"/>
    <mergeCell ref="B57:H57"/>
  </mergeCells>
  <pageMargins left="0.55118110236220474" right="0.15748031496062992" top="0.23622047244094491" bottom="0.15748031496062992" header="0.23622047244094491" footer="0.15748031496062992"/>
  <pageSetup paperSize="9" scale="76" orientation="portrait" r:id="rId1"/>
  <headerFooter alignWithMargins="0">
    <oddFooter>&amp;L&amp;F&amp;RPage: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8"/>
  <sheetViews>
    <sheetView topLeftCell="A25" workbookViewId="0">
      <selection activeCell="E52" sqref="E52"/>
    </sheetView>
  </sheetViews>
  <sheetFormatPr defaultRowHeight="15" x14ac:dyDescent="0.25"/>
  <cols>
    <col min="5" max="5" width="42.5703125" bestFit="1" customWidth="1"/>
  </cols>
  <sheetData>
    <row r="1" spans="1:5" x14ac:dyDescent="0.25">
      <c r="A1" t="s">
        <v>263</v>
      </c>
      <c r="E1" t="s">
        <v>264</v>
      </c>
    </row>
    <row r="2" spans="1:5" x14ac:dyDescent="0.25">
      <c r="A2" t="s">
        <v>265</v>
      </c>
      <c r="E2" t="s">
        <v>266</v>
      </c>
    </row>
    <row r="3" spans="1:5" x14ac:dyDescent="0.25">
      <c r="A3" t="s">
        <v>267</v>
      </c>
      <c r="E3" t="s">
        <v>268</v>
      </c>
    </row>
    <row r="4" spans="1:5" x14ac:dyDescent="0.25">
      <c r="A4" t="s">
        <v>269</v>
      </c>
      <c r="E4" t="s">
        <v>270</v>
      </c>
    </row>
    <row r="5" spans="1:5" x14ac:dyDescent="0.25">
      <c r="E5" t="s">
        <v>271</v>
      </c>
    </row>
    <row r="6" spans="1:5" x14ac:dyDescent="0.25">
      <c r="E6" t="s">
        <v>272</v>
      </c>
    </row>
    <row r="7" spans="1:5" x14ac:dyDescent="0.25">
      <c r="E7" t="s">
        <v>273</v>
      </c>
    </row>
    <row r="8" spans="1:5" x14ac:dyDescent="0.25">
      <c r="E8" t="s">
        <v>274</v>
      </c>
    </row>
    <row r="9" spans="1:5" x14ac:dyDescent="0.25">
      <c r="E9" t="s">
        <v>275</v>
      </c>
    </row>
    <row r="10" spans="1:5" x14ac:dyDescent="0.25">
      <c r="E10" t="s">
        <v>276</v>
      </c>
    </row>
    <row r="11" spans="1:5" x14ac:dyDescent="0.25">
      <c r="E11" t="s">
        <v>277</v>
      </c>
    </row>
    <row r="12" spans="1:5" x14ac:dyDescent="0.25">
      <c r="E12" t="s">
        <v>278</v>
      </c>
    </row>
    <row r="13" spans="1:5" x14ac:dyDescent="0.25">
      <c r="E13" t="s">
        <v>279</v>
      </c>
    </row>
    <row r="14" spans="1:5" x14ac:dyDescent="0.25">
      <c r="E14" t="s">
        <v>280</v>
      </c>
    </row>
    <row r="15" spans="1:5" x14ac:dyDescent="0.25">
      <c r="E15" t="s">
        <v>281</v>
      </c>
    </row>
    <row r="16" spans="1:5" x14ac:dyDescent="0.25">
      <c r="E16" t="s">
        <v>282</v>
      </c>
    </row>
    <row r="17" spans="5:5" x14ac:dyDescent="0.25">
      <c r="E17" t="s">
        <v>283</v>
      </c>
    </row>
    <row r="18" spans="5:5" x14ac:dyDescent="0.25">
      <c r="E18" t="s">
        <v>284</v>
      </c>
    </row>
    <row r="19" spans="5:5" x14ac:dyDescent="0.25">
      <c r="E19" t="s">
        <v>285</v>
      </c>
    </row>
    <row r="20" spans="5:5" x14ac:dyDescent="0.25">
      <c r="E20" t="s">
        <v>286</v>
      </c>
    </row>
    <row r="21" spans="5:5" x14ac:dyDescent="0.25">
      <c r="E21" t="s">
        <v>287</v>
      </c>
    </row>
    <row r="22" spans="5:5" x14ac:dyDescent="0.25">
      <c r="E22" t="s">
        <v>288</v>
      </c>
    </row>
    <row r="23" spans="5:5" x14ac:dyDescent="0.25">
      <c r="E23" t="s">
        <v>289</v>
      </c>
    </row>
    <row r="24" spans="5:5" x14ac:dyDescent="0.25">
      <c r="E24" t="s">
        <v>290</v>
      </c>
    </row>
    <row r="25" spans="5:5" x14ac:dyDescent="0.25">
      <c r="E25" t="s">
        <v>291</v>
      </c>
    </row>
    <row r="26" spans="5:5" x14ac:dyDescent="0.25">
      <c r="E26" t="s">
        <v>292</v>
      </c>
    </row>
    <row r="27" spans="5:5" x14ac:dyDescent="0.25">
      <c r="E27" t="s">
        <v>293</v>
      </c>
    </row>
    <row r="28" spans="5:5" x14ac:dyDescent="0.25">
      <c r="E28" t="s">
        <v>294</v>
      </c>
    </row>
    <row r="29" spans="5:5" x14ac:dyDescent="0.25">
      <c r="E29" t="s">
        <v>295</v>
      </c>
    </row>
    <row r="30" spans="5:5" x14ac:dyDescent="0.25">
      <c r="E30" t="s">
        <v>296</v>
      </c>
    </row>
    <row r="31" spans="5:5" x14ac:dyDescent="0.25">
      <c r="E31" t="s">
        <v>297</v>
      </c>
    </row>
    <row r="32" spans="5:5" x14ac:dyDescent="0.25">
      <c r="E32" t="s">
        <v>298</v>
      </c>
    </row>
    <row r="33" spans="5:5" x14ac:dyDescent="0.25">
      <c r="E33" t="s">
        <v>299</v>
      </c>
    </row>
    <row r="34" spans="5:5" x14ac:dyDescent="0.25">
      <c r="E34" t="s">
        <v>300</v>
      </c>
    </row>
    <row r="35" spans="5:5" x14ac:dyDescent="0.25">
      <c r="E35" t="s">
        <v>301</v>
      </c>
    </row>
    <row r="36" spans="5:5" x14ac:dyDescent="0.25">
      <c r="E36" t="s">
        <v>302</v>
      </c>
    </row>
    <row r="37" spans="5:5" x14ac:dyDescent="0.25">
      <c r="E37" t="s">
        <v>303</v>
      </c>
    </row>
    <row r="38" spans="5:5" x14ac:dyDescent="0.25">
      <c r="E38" t="s">
        <v>304</v>
      </c>
    </row>
    <row r="39" spans="5:5" x14ac:dyDescent="0.25">
      <c r="E39" t="s">
        <v>305</v>
      </c>
    </row>
    <row r="40" spans="5:5" x14ac:dyDescent="0.25">
      <c r="E40" t="s">
        <v>306</v>
      </c>
    </row>
    <row r="41" spans="5:5" x14ac:dyDescent="0.25">
      <c r="E41" t="s">
        <v>307</v>
      </c>
    </row>
    <row r="42" spans="5:5" x14ac:dyDescent="0.25">
      <c r="E42" t="s">
        <v>308</v>
      </c>
    </row>
    <row r="43" spans="5:5" x14ac:dyDescent="0.25">
      <c r="E43" t="s">
        <v>309</v>
      </c>
    </row>
    <row r="44" spans="5:5" x14ac:dyDescent="0.25">
      <c r="E44" t="s">
        <v>310</v>
      </c>
    </row>
    <row r="45" spans="5:5" x14ac:dyDescent="0.25">
      <c r="E45" t="s">
        <v>311</v>
      </c>
    </row>
    <row r="46" spans="5:5" x14ac:dyDescent="0.25">
      <c r="E46" t="s">
        <v>344</v>
      </c>
    </row>
    <row r="47" spans="5:5" x14ac:dyDescent="0.25">
      <c r="E47" t="s">
        <v>312</v>
      </c>
    </row>
    <row r="48" spans="5:5" x14ac:dyDescent="0.25">
      <c r="E48" t="s">
        <v>313</v>
      </c>
    </row>
    <row r="49" spans="5:5" x14ac:dyDescent="0.25">
      <c r="E49" t="s">
        <v>314</v>
      </c>
    </row>
    <row r="50" spans="5:5" x14ac:dyDescent="0.25">
      <c r="E50" t="s">
        <v>315</v>
      </c>
    </row>
    <row r="51" spans="5:5" x14ac:dyDescent="0.25">
      <c r="E51" t="s">
        <v>316</v>
      </c>
    </row>
    <row r="52" spans="5:5" x14ac:dyDescent="0.25">
      <c r="E52" t="s">
        <v>317</v>
      </c>
    </row>
    <row r="53" spans="5:5" x14ac:dyDescent="0.25">
      <c r="E53" t="s">
        <v>318</v>
      </c>
    </row>
    <row r="54" spans="5:5" x14ac:dyDescent="0.25">
      <c r="E54" t="s">
        <v>319</v>
      </c>
    </row>
    <row r="55" spans="5:5" x14ac:dyDescent="0.25">
      <c r="E55" t="s">
        <v>320</v>
      </c>
    </row>
    <row r="56" spans="5:5" x14ac:dyDescent="0.25">
      <c r="E56" t="s">
        <v>321</v>
      </c>
    </row>
    <row r="57" spans="5:5" x14ac:dyDescent="0.25">
      <c r="E57" t="s">
        <v>322</v>
      </c>
    </row>
    <row r="58" spans="5:5" x14ac:dyDescent="0.25">
      <c r="E58" t="s">
        <v>323</v>
      </c>
    </row>
    <row r="59" spans="5:5" x14ac:dyDescent="0.25">
      <c r="E59" t="s">
        <v>324</v>
      </c>
    </row>
    <row r="60" spans="5:5" x14ac:dyDescent="0.25">
      <c r="E60" t="s">
        <v>325</v>
      </c>
    </row>
    <row r="61" spans="5:5" x14ac:dyDescent="0.25">
      <c r="E61" t="s">
        <v>326</v>
      </c>
    </row>
    <row r="62" spans="5:5" x14ac:dyDescent="0.25">
      <c r="E62" t="s">
        <v>327</v>
      </c>
    </row>
    <row r="63" spans="5:5" x14ac:dyDescent="0.25">
      <c r="E63" t="s">
        <v>328</v>
      </c>
    </row>
    <row r="64" spans="5:5" x14ac:dyDescent="0.25">
      <c r="E64" t="s">
        <v>329</v>
      </c>
    </row>
    <row r="65" spans="5:5" x14ac:dyDescent="0.25">
      <c r="E65" t="s">
        <v>330</v>
      </c>
    </row>
    <row r="66" spans="5:5" x14ac:dyDescent="0.25">
      <c r="E66" t="s">
        <v>331</v>
      </c>
    </row>
    <row r="67" spans="5:5" x14ac:dyDescent="0.25">
      <c r="E67" t="s">
        <v>332</v>
      </c>
    </row>
    <row r="68" spans="5:5" x14ac:dyDescent="0.25">
      <c r="E68" t="s">
        <v>333</v>
      </c>
    </row>
    <row r="69" spans="5:5" x14ac:dyDescent="0.25">
      <c r="E69" t="s">
        <v>334</v>
      </c>
    </row>
    <row r="70" spans="5:5" x14ac:dyDescent="0.25">
      <c r="E70" t="s">
        <v>335</v>
      </c>
    </row>
    <row r="71" spans="5:5" x14ac:dyDescent="0.25">
      <c r="E71" t="s">
        <v>336</v>
      </c>
    </row>
    <row r="72" spans="5:5" x14ac:dyDescent="0.25">
      <c r="E72" t="s">
        <v>337</v>
      </c>
    </row>
    <row r="73" spans="5:5" x14ac:dyDescent="0.25">
      <c r="E73" t="s">
        <v>338</v>
      </c>
    </row>
    <row r="74" spans="5:5" x14ac:dyDescent="0.25">
      <c r="E74" t="s">
        <v>339</v>
      </c>
    </row>
    <row r="75" spans="5:5" x14ac:dyDescent="0.25">
      <c r="E75" t="s">
        <v>340</v>
      </c>
    </row>
    <row r="76" spans="5:5" x14ac:dyDescent="0.25">
      <c r="E76" t="s">
        <v>341</v>
      </c>
    </row>
    <row r="77" spans="5:5" x14ac:dyDescent="0.25">
      <c r="E77" t="s">
        <v>342</v>
      </c>
    </row>
    <row r="78" spans="5:5" x14ac:dyDescent="0.25">
      <c r="E78" t="s">
        <v>343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F274B041B436469EB968048F3E850A" ma:contentTypeVersion="8" ma:contentTypeDescription="Create a new document." ma:contentTypeScope="" ma:versionID="0bac7f69c2d64dcdbf281f47ea073761">
  <xsd:schema xmlns:xsd="http://www.w3.org/2001/XMLSchema" xmlns:xs="http://www.w3.org/2001/XMLSchema" xmlns:p="http://schemas.microsoft.com/office/2006/metadata/properties" xmlns:ns3="80c87580-e1e7-44d9-9629-770679bb26ac" targetNamespace="http://schemas.microsoft.com/office/2006/metadata/properties" ma:root="true" ma:fieldsID="a9662df986ce95da96db9a3b8ecb88d9" ns3:_="">
    <xsd:import namespace="80c87580-e1e7-44d9-9629-770679bb26ac"/>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c87580-e1e7-44d9-9629-770679bb26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B70FA9F-D748-4556-BED8-3236E729F4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c87580-e1e7-44d9-9629-770679bb26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78879D-5077-4405-B367-B95D68D98ABB}">
  <ds:schemaRefs>
    <ds:schemaRef ds:uri="http://schemas.microsoft.com/sharepoint/v3/contenttype/forms"/>
  </ds:schemaRefs>
</ds:datastoreItem>
</file>

<file path=customXml/itemProps3.xml><?xml version="1.0" encoding="utf-8"?>
<ds:datastoreItem xmlns:ds="http://schemas.openxmlformats.org/officeDocument/2006/customXml" ds:itemID="{1D4B261D-4E73-48DA-B44C-AB59B6DBA5ED}">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80c87580-e1e7-44d9-9629-770679bb26ac"/>
    <ds:schemaRef ds:uri="http://purl.org/dc/terms/"/>
    <ds:schemaRef ds:uri="http://schemas.openxmlformats.org/package/2006/metadata/core-properties"/>
    <ds:schemaRef ds:uri="http://purl.org/dc/dcmityp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Intake Form</vt:lpstr>
      <vt:lpstr>Submission Data1</vt:lpstr>
      <vt:lpstr>Submission Data - 1</vt:lpstr>
      <vt:lpstr>Submission Data - 2</vt:lpstr>
      <vt:lpstr>Impact Scoring</vt:lpstr>
      <vt:lpstr>Business Outcome BR Pathway</vt:lpstr>
      <vt:lpstr>Business Change BR Pathway </vt:lpstr>
      <vt:lpstr>Process Outcome BR Pathway</vt:lpstr>
      <vt:lpstr>Resource Estimates</vt:lpstr>
      <vt:lpstr>Change Request</vt:lpstr>
      <vt:lpstr>Hidden</vt:lpstr>
      <vt:lpstr>'Business Change BR Pathway '!Print_Area</vt:lpstr>
      <vt:lpstr>'Business Outcome BR Pathway'!Print_Area</vt:lpstr>
      <vt:lpstr>'Intake Form'!Print_Area</vt:lpstr>
      <vt:lpstr>'Process Outcome BR Pathway'!Print_Area</vt:lpstr>
      <vt:lpstr>'Submission Data - 1'!Print_Area</vt:lpstr>
      <vt:lpstr>'Submission Data - 2'!Print_Area</vt:lpstr>
      <vt:lpstr>'Submission Data1'!Print_Area</vt:lpstr>
      <vt:lpstr>'Submission Data1'!Print_Titles</vt:lpstr>
    </vt:vector>
  </TitlesOfParts>
  <Manager/>
  <Company>WFBH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 Showalter</dc:creator>
  <cp:keywords/>
  <dc:description/>
  <cp:lastModifiedBy>Jeffrey Atwell</cp:lastModifiedBy>
  <cp:revision/>
  <cp:lastPrinted>2021-12-03T16:28:56Z</cp:lastPrinted>
  <dcterms:created xsi:type="dcterms:W3CDTF">2020-07-22T11:27:55Z</dcterms:created>
  <dcterms:modified xsi:type="dcterms:W3CDTF">2022-03-07T20:41:46Z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0x01010016F274B041B436469EB968048F3E850A</vt:lpwstr>
  </property>
  <property fmtid="{D5CDD505-2E9C-101B-9397-08002B2CF9AE}" pid="3" name="UGP Approved">
    <vt:lpwstr>N/A</vt:lpwstr>
  </property>
  <property fmtid="{D5CDD505-2E9C-101B-9397-08002B2CF9AE}" pid="4" name="ITSC Approved">
    <vt:lpwstr>N/A</vt:lpwstr>
  </property>
  <property fmtid="{D5CDD505-2E9C-101B-9397-08002B2CF9AE}" pid="5" name="Order">
    <vt:r8>300</vt:r8>
  </property>
  <property fmtid="{D5CDD505-2E9C-101B-9397-08002B2CF9AE}" pid="6" name="Gov. Committee">
    <vt:lpwstr>Not Determined</vt:lpwstr>
  </property>
  <property fmtid="{D5CDD505-2E9C-101B-9397-08002B2CF9AE}" pid="7" name="xd_Signature">
    <vt:bool>false</vt:bool>
  </property>
  <property fmtid="{D5CDD505-2E9C-101B-9397-08002B2CF9AE}" pid="8" name="CEOC Approved">
    <vt:lpwstr>N/A</vt:lpwstr>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CMOs Approved">
    <vt:lpwstr>N/A</vt:lpwstr>
  </property>
</Properties>
</file>